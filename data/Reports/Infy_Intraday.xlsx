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ive\Sai\StockMarket\APICoding\data\Reports\"/>
    </mc:Choice>
  </mc:AlternateContent>
  <xr:revisionPtr revIDLastSave="0" documentId="13_ncr:1_{6D9034B2-D470-4FEE-B02B-0E56A8DB42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5Min" sheetId="2" r:id="rId2"/>
    <sheet name="minutes_1" sheetId="3" r:id="rId3"/>
    <sheet name="minutes_5" sheetId="4" r:id="rId4"/>
    <sheet name="minutes_15" sheetId="5" r:id="rId5"/>
    <sheet name="hours_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69" i="6" l="1"/>
  <c r="T269" i="6"/>
  <c r="S269" i="6"/>
  <c r="R269" i="6"/>
  <c r="P269" i="6"/>
  <c r="O269" i="6"/>
  <c r="T268" i="6"/>
  <c r="U268" i="6" s="1"/>
  <c r="S268" i="6"/>
  <c r="R268" i="6"/>
  <c r="P268" i="6"/>
  <c r="O268" i="6"/>
  <c r="T267" i="6"/>
  <c r="U267" i="6" s="1"/>
  <c r="R267" i="6"/>
  <c r="S267" i="6" s="1"/>
  <c r="P267" i="6"/>
  <c r="O267" i="6"/>
  <c r="U266" i="6"/>
  <c r="T266" i="6"/>
  <c r="R266" i="6"/>
  <c r="S266" i="6" s="1"/>
  <c r="P266" i="6"/>
  <c r="O266" i="6"/>
  <c r="U265" i="6"/>
  <c r="T265" i="6"/>
  <c r="S265" i="6"/>
  <c r="R265" i="6"/>
  <c r="P265" i="6"/>
  <c r="O265" i="6"/>
  <c r="T264" i="6"/>
  <c r="U264" i="6" s="1"/>
  <c r="S264" i="6"/>
  <c r="R264" i="6"/>
  <c r="P264" i="6"/>
  <c r="O264" i="6"/>
  <c r="T263" i="6"/>
  <c r="U263" i="6" s="1"/>
  <c r="R263" i="6"/>
  <c r="S263" i="6" s="1"/>
  <c r="P263" i="6"/>
  <c r="O263" i="6"/>
  <c r="U262" i="6"/>
  <c r="T262" i="6"/>
  <c r="R262" i="6"/>
  <c r="S262" i="6" s="1"/>
  <c r="P262" i="6"/>
  <c r="O262" i="6"/>
  <c r="U261" i="6"/>
  <c r="T261" i="6"/>
  <c r="S261" i="6"/>
  <c r="R261" i="6"/>
  <c r="P261" i="6"/>
  <c r="O261" i="6"/>
  <c r="T260" i="6"/>
  <c r="U260" i="6" s="1"/>
  <c r="S260" i="6"/>
  <c r="R260" i="6"/>
  <c r="P260" i="6"/>
  <c r="O260" i="6"/>
  <c r="T259" i="6"/>
  <c r="U259" i="6" s="1"/>
  <c r="R259" i="6"/>
  <c r="S259" i="6" s="1"/>
  <c r="P259" i="6"/>
  <c r="O259" i="6"/>
  <c r="U258" i="6"/>
  <c r="T258" i="6"/>
  <c r="R258" i="6"/>
  <c r="S258" i="6" s="1"/>
  <c r="P258" i="6"/>
  <c r="O258" i="6"/>
  <c r="U257" i="6"/>
  <c r="T257" i="6"/>
  <c r="S257" i="6"/>
  <c r="R257" i="6"/>
  <c r="P257" i="6"/>
  <c r="O257" i="6"/>
  <c r="T256" i="6"/>
  <c r="U256" i="6" s="1"/>
  <c r="S256" i="6"/>
  <c r="R256" i="6"/>
  <c r="P256" i="6"/>
  <c r="O256" i="6"/>
  <c r="T255" i="6"/>
  <c r="U255" i="6" s="1"/>
  <c r="R255" i="6"/>
  <c r="S255" i="6" s="1"/>
  <c r="P255" i="6"/>
  <c r="O255" i="6"/>
  <c r="U254" i="6"/>
  <c r="T254" i="6"/>
  <c r="R254" i="6"/>
  <c r="S254" i="6" s="1"/>
  <c r="P254" i="6"/>
  <c r="O254" i="6"/>
  <c r="U253" i="6"/>
  <c r="T253" i="6"/>
  <c r="S253" i="6"/>
  <c r="R253" i="6"/>
  <c r="P253" i="6"/>
  <c r="O253" i="6"/>
  <c r="T252" i="6"/>
  <c r="U252" i="6" s="1"/>
  <c r="S252" i="6"/>
  <c r="R252" i="6"/>
  <c r="P252" i="6"/>
  <c r="O252" i="6"/>
  <c r="T251" i="6"/>
  <c r="U251" i="6" s="1"/>
  <c r="R251" i="6"/>
  <c r="S251" i="6" s="1"/>
  <c r="P251" i="6"/>
  <c r="O251" i="6"/>
  <c r="U250" i="6"/>
  <c r="T250" i="6"/>
  <c r="R250" i="6"/>
  <c r="S250" i="6" s="1"/>
  <c r="P250" i="6"/>
  <c r="O250" i="6"/>
  <c r="U249" i="6"/>
  <c r="T249" i="6"/>
  <c r="S249" i="6"/>
  <c r="R249" i="6"/>
  <c r="P249" i="6"/>
  <c r="O249" i="6"/>
  <c r="T248" i="6"/>
  <c r="U248" i="6" s="1"/>
  <c r="S248" i="6"/>
  <c r="R248" i="6"/>
  <c r="P248" i="6"/>
  <c r="O248" i="6"/>
  <c r="T247" i="6"/>
  <c r="U247" i="6" s="1"/>
  <c r="R247" i="6"/>
  <c r="S247" i="6" s="1"/>
  <c r="P247" i="6"/>
  <c r="O247" i="6"/>
  <c r="U246" i="6"/>
  <c r="T246" i="6"/>
  <c r="R246" i="6"/>
  <c r="S246" i="6" s="1"/>
  <c r="P246" i="6"/>
  <c r="O246" i="6"/>
  <c r="U245" i="6"/>
  <c r="T245" i="6"/>
  <c r="S245" i="6"/>
  <c r="R245" i="6"/>
  <c r="P245" i="6"/>
  <c r="O245" i="6"/>
  <c r="T244" i="6"/>
  <c r="U244" i="6" s="1"/>
  <c r="S244" i="6"/>
  <c r="R244" i="6"/>
  <c r="P244" i="6"/>
  <c r="O244" i="6"/>
  <c r="T243" i="6"/>
  <c r="U243" i="6" s="1"/>
  <c r="R243" i="6"/>
  <c r="S243" i="6" s="1"/>
  <c r="P243" i="6"/>
  <c r="O243" i="6"/>
  <c r="U242" i="6"/>
  <c r="T242" i="6"/>
  <c r="R242" i="6"/>
  <c r="S242" i="6" s="1"/>
  <c r="P242" i="6"/>
  <c r="O242" i="6"/>
  <c r="U241" i="6"/>
  <c r="T241" i="6"/>
  <c r="S241" i="6"/>
  <c r="R241" i="6"/>
  <c r="P241" i="6"/>
  <c r="O241" i="6"/>
  <c r="T240" i="6"/>
  <c r="U240" i="6" s="1"/>
  <c r="S240" i="6"/>
  <c r="R240" i="6"/>
  <c r="P240" i="6"/>
  <c r="O240" i="6"/>
  <c r="T239" i="6"/>
  <c r="U239" i="6" s="1"/>
  <c r="R239" i="6"/>
  <c r="S239" i="6" s="1"/>
  <c r="P239" i="6"/>
  <c r="O239" i="6"/>
  <c r="U238" i="6"/>
  <c r="T238" i="6"/>
  <c r="R238" i="6"/>
  <c r="S238" i="6" s="1"/>
  <c r="P238" i="6"/>
  <c r="O238" i="6"/>
  <c r="U237" i="6"/>
  <c r="T237" i="6"/>
  <c r="S237" i="6"/>
  <c r="R237" i="6"/>
  <c r="P237" i="6"/>
  <c r="O237" i="6"/>
  <c r="T236" i="6"/>
  <c r="U236" i="6" s="1"/>
  <c r="S236" i="6"/>
  <c r="R236" i="6"/>
  <c r="P236" i="6"/>
  <c r="O236" i="6"/>
  <c r="T235" i="6"/>
  <c r="U235" i="6" s="1"/>
  <c r="R235" i="6"/>
  <c r="S235" i="6" s="1"/>
  <c r="P235" i="6"/>
  <c r="O235" i="6"/>
  <c r="U234" i="6"/>
  <c r="T234" i="6"/>
  <c r="R234" i="6"/>
  <c r="S234" i="6" s="1"/>
  <c r="P234" i="6"/>
  <c r="O234" i="6"/>
  <c r="U233" i="6"/>
  <c r="T233" i="6"/>
  <c r="S233" i="6"/>
  <c r="R233" i="6"/>
  <c r="P233" i="6"/>
  <c r="O233" i="6"/>
  <c r="T232" i="6"/>
  <c r="U232" i="6" s="1"/>
  <c r="S232" i="6"/>
  <c r="R232" i="6"/>
  <c r="P232" i="6"/>
  <c r="O232" i="6"/>
  <c r="T231" i="6"/>
  <c r="U231" i="6" s="1"/>
  <c r="R231" i="6"/>
  <c r="S231" i="6" s="1"/>
  <c r="P231" i="6"/>
  <c r="O231" i="6"/>
  <c r="U230" i="6"/>
  <c r="T230" i="6"/>
  <c r="R230" i="6"/>
  <c r="S230" i="6" s="1"/>
  <c r="P230" i="6"/>
  <c r="O230" i="6"/>
  <c r="U229" i="6"/>
  <c r="T229" i="6"/>
  <c r="S229" i="6"/>
  <c r="R229" i="6"/>
  <c r="P229" i="6"/>
  <c r="O229" i="6"/>
  <c r="T228" i="6"/>
  <c r="U228" i="6" s="1"/>
  <c r="S228" i="6"/>
  <c r="R228" i="6"/>
  <c r="P228" i="6"/>
  <c r="O228" i="6"/>
  <c r="T227" i="6"/>
  <c r="U227" i="6" s="1"/>
  <c r="R227" i="6"/>
  <c r="S227" i="6" s="1"/>
  <c r="P227" i="6"/>
  <c r="O227" i="6"/>
  <c r="U226" i="6"/>
  <c r="T226" i="6"/>
  <c r="R226" i="6"/>
  <c r="S226" i="6" s="1"/>
  <c r="P226" i="6"/>
  <c r="O226" i="6"/>
  <c r="U225" i="6"/>
  <c r="T225" i="6"/>
  <c r="S225" i="6"/>
  <c r="R225" i="6"/>
  <c r="P225" i="6"/>
  <c r="O225" i="6"/>
  <c r="T224" i="6"/>
  <c r="U224" i="6" s="1"/>
  <c r="S224" i="6"/>
  <c r="R224" i="6"/>
  <c r="P224" i="6"/>
  <c r="O224" i="6"/>
  <c r="T223" i="6"/>
  <c r="U223" i="6" s="1"/>
  <c r="R223" i="6"/>
  <c r="S223" i="6" s="1"/>
  <c r="P223" i="6"/>
  <c r="O223" i="6"/>
  <c r="U222" i="6"/>
  <c r="T222" i="6"/>
  <c r="R222" i="6"/>
  <c r="S222" i="6" s="1"/>
  <c r="P222" i="6"/>
  <c r="O222" i="6"/>
  <c r="U221" i="6"/>
  <c r="T221" i="6"/>
  <c r="S221" i="6"/>
  <c r="R221" i="6"/>
  <c r="P221" i="6"/>
  <c r="O221" i="6"/>
  <c r="T220" i="6"/>
  <c r="U220" i="6" s="1"/>
  <c r="S220" i="6"/>
  <c r="R220" i="6"/>
  <c r="P220" i="6"/>
  <c r="O220" i="6"/>
  <c r="T219" i="6"/>
  <c r="U219" i="6" s="1"/>
  <c r="R219" i="6"/>
  <c r="S219" i="6" s="1"/>
  <c r="P219" i="6"/>
  <c r="O219" i="6"/>
  <c r="U218" i="6"/>
  <c r="T218" i="6"/>
  <c r="R218" i="6"/>
  <c r="S218" i="6" s="1"/>
  <c r="P218" i="6"/>
  <c r="O218" i="6"/>
  <c r="U217" i="6"/>
  <c r="T217" i="6"/>
  <c r="S217" i="6"/>
  <c r="R217" i="6"/>
  <c r="P217" i="6"/>
  <c r="O217" i="6"/>
  <c r="T216" i="6"/>
  <c r="U216" i="6" s="1"/>
  <c r="S216" i="6"/>
  <c r="R216" i="6"/>
  <c r="P216" i="6"/>
  <c r="O216" i="6"/>
  <c r="T215" i="6"/>
  <c r="U215" i="6" s="1"/>
  <c r="R215" i="6"/>
  <c r="S215" i="6" s="1"/>
  <c r="P215" i="6"/>
  <c r="O215" i="6"/>
  <c r="U214" i="6"/>
  <c r="T214" i="6"/>
  <c r="R214" i="6"/>
  <c r="S214" i="6" s="1"/>
  <c r="P214" i="6"/>
  <c r="O214" i="6"/>
  <c r="U213" i="6"/>
  <c r="T213" i="6"/>
  <c r="S213" i="6"/>
  <c r="R213" i="6"/>
  <c r="P213" i="6"/>
  <c r="O213" i="6"/>
  <c r="T212" i="6"/>
  <c r="U212" i="6" s="1"/>
  <c r="S212" i="6"/>
  <c r="R212" i="6"/>
  <c r="P212" i="6"/>
  <c r="O212" i="6"/>
  <c r="T211" i="6"/>
  <c r="U211" i="6" s="1"/>
  <c r="R211" i="6"/>
  <c r="S211" i="6" s="1"/>
  <c r="P211" i="6"/>
  <c r="O211" i="6"/>
  <c r="U210" i="6"/>
  <c r="T210" i="6"/>
  <c r="R210" i="6"/>
  <c r="S210" i="6" s="1"/>
  <c r="P210" i="6"/>
  <c r="O210" i="6"/>
  <c r="U209" i="6"/>
  <c r="T209" i="6"/>
  <c r="S209" i="6"/>
  <c r="R209" i="6"/>
  <c r="P209" i="6"/>
  <c r="O209" i="6"/>
  <c r="T208" i="6"/>
  <c r="U208" i="6" s="1"/>
  <c r="S208" i="6"/>
  <c r="R208" i="6"/>
  <c r="P208" i="6"/>
  <c r="O208" i="6"/>
  <c r="T207" i="6"/>
  <c r="U207" i="6" s="1"/>
  <c r="R207" i="6"/>
  <c r="S207" i="6" s="1"/>
  <c r="P207" i="6"/>
  <c r="O207" i="6"/>
  <c r="U206" i="6"/>
  <c r="T206" i="6"/>
  <c r="R206" i="6"/>
  <c r="S206" i="6" s="1"/>
  <c r="P206" i="6"/>
  <c r="O206" i="6"/>
  <c r="U205" i="6"/>
  <c r="T205" i="6"/>
  <c r="S205" i="6"/>
  <c r="R205" i="6"/>
  <c r="P205" i="6"/>
  <c r="O205" i="6"/>
  <c r="T204" i="6"/>
  <c r="U204" i="6" s="1"/>
  <c r="S204" i="6"/>
  <c r="R204" i="6"/>
  <c r="P204" i="6"/>
  <c r="O204" i="6"/>
  <c r="T203" i="6"/>
  <c r="U203" i="6" s="1"/>
  <c r="R203" i="6"/>
  <c r="S203" i="6" s="1"/>
  <c r="P203" i="6"/>
  <c r="O203" i="6"/>
  <c r="U202" i="6"/>
  <c r="T202" i="6"/>
  <c r="R202" i="6"/>
  <c r="S202" i="6" s="1"/>
  <c r="P202" i="6"/>
  <c r="O202" i="6"/>
  <c r="Y17" i="6"/>
  <c r="X17" i="6"/>
  <c r="V17" i="6"/>
  <c r="W17" i="6" s="1"/>
  <c r="U17" i="6"/>
  <c r="T17" i="6"/>
  <c r="R17" i="6"/>
  <c r="S17" i="6" s="1"/>
  <c r="Q17" i="6"/>
  <c r="N17" i="6"/>
  <c r="P17" i="6" s="1"/>
  <c r="M17" i="6"/>
  <c r="L17" i="6"/>
  <c r="J17" i="6"/>
  <c r="I17" i="6"/>
  <c r="K17" i="6" s="1"/>
  <c r="H17" i="6"/>
  <c r="X16" i="6"/>
  <c r="Y16" i="6" s="1"/>
  <c r="W16" i="6"/>
  <c r="V16" i="6"/>
  <c r="T16" i="6"/>
  <c r="U16" i="6" s="1"/>
  <c r="S16" i="6"/>
  <c r="R16" i="6"/>
  <c r="N16" i="6"/>
  <c r="Q16" i="6" s="1"/>
  <c r="M16" i="6"/>
  <c r="L16" i="6"/>
  <c r="H16" i="6"/>
  <c r="J16" i="6" s="1"/>
  <c r="Y15" i="6"/>
  <c r="X15" i="6"/>
  <c r="V15" i="6"/>
  <c r="W15" i="6" s="1"/>
  <c r="U15" i="6"/>
  <c r="T15" i="6"/>
  <c r="R15" i="6"/>
  <c r="S15" i="6" s="1"/>
  <c r="N15" i="6"/>
  <c r="Q15" i="6" s="1"/>
  <c r="M15" i="6"/>
  <c r="L15" i="6"/>
  <c r="I15" i="6"/>
  <c r="H15" i="6"/>
  <c r="J15" i="6" s="1"/>
  <c r="X14" i="6"/>
  <c r="Y14" i="6" s="1"/>
  <c r="W14" i="6"/>
  <c r="V14" i="6"/>
  <c r="T14" i="6"/>
  <c r="U14" i="6" s="1"/>
  <c r="S14" i="6"/>
  <c r="R14" i="6"/>
  <c r="P14" i="6"/>
  <c r="O14" i="6"/>
  <c r="N14" i="6"/>
  <c r="M14" i="6"/>
  <c r="L14" i="6"/>
  <c r="H14" i="6"/>
  <c r="J14" i="6" s="1"/>
  <c r="Y13" i="6"/>
  <c r="X13" i="6"/>
  <c r="V13" i="6"/>
  <c r="W13" i="6" s="1"/>
  <c r="U13" i="6"/>
  <c r="T13" i="6"/>
  <c r="R13" i="6"/>
  <c r="S13" i="6" s="1"/>
  <c r="Q13" i="6"/>
  <c r="N13" i="6"/>
  <c r="P13" i="6" s="1"/>
  <c r="M13" i="6"/>
  <c r="L13" i="6"/>
  <c r="J13" i="6"/>
  <c r="I13" i="6"/>
  <c r="K13" i="6" s="1"/>
  <c r="H13" i="6"/>
  <c r="X12" i="6"/>
  <c r="Y12" i="6" s="1"/>
  <c r="W12" i="6"/>
  <c r="V12" i="6"/>
  <c r="T12" i="6"/>
  <c r="U12" i="6" s="1"/>
  <c r="S12" i="6"/>
  <c r="R12" i="6"/>
  <c r="N12" i="6"/>
  <c r="Q12" i="6" s="1"/>
  <c r="M12" i="6"/>
  <c r="L12" i="6"/>
  <c r="H12" i="6"/>
  <c r="J12" i="6" s="1"/>
  <c r="Y11" i="6"/>
  <c r="X11" i="6"/>
  <c r="V11" i="6"/>
  <c r="W11" i="6" s="1"/>
  <c r="U11" i="6"/>
  <c r="T11" i="6"/>
  <c r="R11" i="6"/>
  <c r="S11" i="6" s="1"/>
  <c r="N11" i="6"/>
  <c r="Q11" i="6" s="1"/>
  <c r="M11" i="6"/>
  <c r="L11" i="6"/>
  <c r="I11" i="6"/>
  <c r="H11" i="6"/>
  <c r="J11" i="6" s="1"/>
  <c r="X10" i="6"/>
  <c r="Y10" i="6" s="1"/>
  <c r="W10" i="6"/>
  <c r="V10" i="6"/>
  <c r="T10" i="6"/>
  <c r="U10" i="6" s="1"/>
  <c r="S10" i="6"/>
  <c r="R10" i="6"/>
  <c r="P10" i="6"/>
  <c r="O10" i="6"/>
  <c r="N10" i="6"/>
  <c r="M10" i="6"/>
  <c r="L10" i="6"/>
  <c r="H10" i="6"/>
  <c r="J10" i="6" s="1"/>
  <c r="Y9" i="6"/>
  <c r="X9" i="6"/>
  <c r="V9" i="6"/>
  <c r="W9" i="6" s="1"/>
  <c r="U9" i="6"/>
  <c r="T9" i="6"/>
  <c r="R9" i="6"/>
  <c r="S9" i="6" s="1"/>
  <c r="Q9" i="6"/>
  <c r="N9" i="6"/>
  <c r="P9" i="6" s="1"/>
  <c r="M9" i="6"/>
  <c r="L9" i="6"/>
  <c r="J9" i="6"/>
  <c r="I9" i="6"/>
  <c r="K9" i="6" s="1"/>
  <c r="H9" i="6"/>
  <c r="X8" i="6"/>
  <c r="Y8" i="6" s="1"/>
  <c r="W8" i="6"/>
  <c r="V8" i="6"/>
  <c r="T8" i="6"/>
  <c r="U8" i="6" s="1"/>
  <c r="S8" i="6"/>
  <c r="R8" i="6"/>
  <c r="N8" i="6"/>
  <c r="Q8" i="6" s="1"/>
  <c r="M8" i="6"/>
  <c r="L8" i="6"/>
  <c r="H8" i="6"/>
  <c r="J8" i="6" s="1"/>
  <c r="Y7" i="6"/>
  <c r="X7" i="6"/>
  <c r="V7" i="6"/>
  <c r="W7" i="6" s="1"/>
  <c r="U7" i="6"/>
  <c r="T7" i="6"/>
  <c r="R7" i="6"/>
  <c r="S7" i="6" s="1"/>
  <c r="N7" i="6"/>
  <c r="Q7" i="6" s="1"/>
  <c r="M7" i="6"/>
  <c r="L7" i="6"/>
  <c r="I7" i="6"/>
  <c r="K7" i="6" s="1"/>
  <c r="H7" i="6"/>
  <c r="J7" i="6" s="1"/>
  <c r="X6" i="6"/>
  <c r="Y6" i="6" s="1"/>
  <c r="W6" i="6"/>
  <c r="V6" i="6"/>
  <c r="T6" i="6"/>
  <c r="U6" i="6" s="1"/>
  <c r="S6" i="6"/>
  <c r="R6" i="6"/>
  <c r="P6" i="6"/>
  <c r="O6" i="6"/>
  <c r="N6" i="6"/>
  <c r="M6" i="6"/>
  <c r="L6" i="6"/>
  <c r="H6" i="6"/>
  <c r="J6" i="6" s="1"/>
  <c r="Y5" i="6"/>
  <c r="X5" i="6"/>
  <c r="V5" i="6"/>
  <c r="W5" i="6" s="1"/>
  <c r="U5" i="6"/>
  <c r="T5" i="6"/>
  <c r="R5" i="6"/>
  <c r="S5" i="6" s="1"/>
  <c r="Q5" i="6"/>
  <c r="N5" i="6"/>
  <c r="P5" i="6" s="1"/>
  <c r="M5" i="6"/>
  <c r="L5" i="6"/>
  <c r="J5" i="6"/>
  <c r="I5" i="6"/>
  <c r="K5" i="6" s="1"/>
  <c r="H5" i="6"/>
  <c r="X4" i="6"/>
  <c r="Y4" i="6" s="1"/>
  <c r="W4" i="6"/>
  <c r="V4" i="6"/>
  <c r="T4" i="6"/>
  <c r="U4" i="6" s="1"/>
  <c r="S4" i="6"/>
  <c r="R4" i="6"/>
  <c r="N4" i="6"/>
  <c r="Q4" i="6" s="1"/>
  <c r="M4" i="6"/>
  <c r="L4" i="6"/>
  <c r="H4" i="6"/>
  <c r="J4" i="6" s="1"/>
  <c r="Y3" i="6"/>
  <c r="X3" i="6"/>
  <c r="V3" i="6"/>
  <c r="W3" i="6" s="1"/>
  <c r="U3" i="6"/>
  <c r="T3" i="6"/>
  <c r="R3" i="6"/>
  <c r="S3" i="6" s="1"/>
  <c r="N3" i="6"/>
  <c r="Q3" i="6" s="1"/>
  <c r="M3" i="6"/>
  <c r="L3" i="6"/>
  <c r="I3" i="6"/>
  <c r="H3" i="6"/>
  <c r="J3" i="6" s="1"/>
  <c r="X2" i="6"/>
  <c r="Y2" i="6" s="1"/>
  <c r="W2" i="6"/>
  <c r="V2" i="6"/>
  <c r="T2" i="6"/>
  <c r="U2" i="6" s="1"/>
  <c r="S2" i="6"/>
  <c r="R2" i="6"/>
  <c r="P2" i="6"/>
  <c r="O2" i="6"/>
  <c r="N2" i="6"/>
  <c r="M2" i="6"/>
  <c r="L2" i="6"/>
  <c r="H2" i="6"/>
  <c r="J2" i="6" s="1"/>
  <c r="U269" i="5"/>
  <c r="T269" i="5"/>
  <c r="S269" i="5"/>
  <c r="R269" i="5"/>
  <c r="P269" i="5"/>
  <c r="O269" i="5"/>
  <c r="T268" i="5"/>
  <c r="S268" i="5"/>
  <c r="R268" i="5"/>
  <c r="P268" i="5"/>
  <c r="O268" i="5"/>
  <c r="T267" i="5"/>
  <c r="R267" i="5"/>
  <c r="P267" i="5"/>
  <c r="O267" i="5"/>
  <c r="U266" i="5"/>
  <c r="T266" i="5"/>
  <c r="R266" i="5"/>
  <c r="P266" i="5"/>
  <c r="O266" i="5"/>
  <c r="U265" i="5"/>
  <c r="T265" i="5"/>
  <c r="S265" i="5"/>
  <c r="R265" i="5"/>
  <c r="P265" i="5"/>
  <c r="O265" i="5"/>
  <c r="T264" i="5"/>
  <c r="S264" i="5"/>
  <c r="R264" i="5"/>
  <c r="P264" i="5"/>
  <c r="O264" i="5"/>
  <c r="T263" i="5"/>
  <c r="R263" i="5"/>
  <c r="P263" i="5"/>
  <c r="O263" i="5"/>
  <c r="U262" i="5"/>
  <c r="T262" i="5"/>
  <c r="R262" i="5"/>
  <c r="P262" i="5"/>
  <c r="O262" i="5"/>
  <c r="U261" i="5"/>
  <c r="T261" i="5"/>
  <c r="S261" i="5"/>
  <c r="R261" i="5"/>
  <c r="P261" i="5"/>
  <c r="O261" i="5"/>
  <c r="T260" i="5"/>
  <c r="S260" i="5"/>
  <c r="R260" i="5"/>
  <c r="P260" i="5"/>
  <c r="O260" i="5"/>
  <c r="T259" i="5"/>
  <c r="R259" i="5"/>
  <c r="P259" i="5"/>
  <c r="O259" i="5"/>
  <c r="U258" i="5"/>
  <c r="T258" i="5"/>
  <c r="R258" i="5"/>
  <c r="P258" i="5"/>
  <c r="O258" i="5"/>
  <c r="U257" i="5"/>
  <c r="T257" i="5"/>
  <c r="S257" i="5"/>
  <c r="R257" i="5"/>
  <c r="P257" i="5"/>
  <c r="O257" i="5"/>
  <c r="T256" i="5"/>
  <c r="S256" i="5"/>
  <c r="R256" i="5"/>
  <c r="P256" i="5"/>
  <c r="O256" i="5"/>
  <c r="T255" i="5"/>
  <c r="R255" i="5"/>
  <c r="P255" i="5"/>
  <c r="O255" i="5"/>
  <c r="U254" i="5"/>
  <c r="T254" i="5"/>
  <c r="R254" i="5"/>
  <c r="P254" i="5"/>
  <c r="O254" i="5"/>
  <c r="U253" i="5"/>
  <c r="T253" i="5"/>
  <c r="S253" i="5"/>
  <c r="R253" i="5"/>
  <c r="P253" i="5"/>
  <c r="O253" i="5"/>
  <c r="T252" i="5"/>
  <c r="S252" i="5"/>
  <c r="R252" i="5"/>
  <c r="P252" i="5"/>
  <c r="O252" i="5"/>
  <c r="T251" i="5"/>
  <c r="R251" i="5"/>
  <c r="P251" i="5"/>
  <c r="O251" i="5"/>
  <c r="U250" i="5"/>
  <c r="T250" i="5"/>
  <c r="R250" i="5"/>
  <c r="P250" i="5"/>
  <c r="O250" i="5"/>
  <c r="U249" i="5"/>
  <c r="T249" i="5"/>
  <c r="S249" i="5"/>
  <c r="R249" i="5"/>
  <c r="P249" i="5"/>
  <c r="O249" i="5"/>
  <c r="T248" i="5"/>
  <c r="S248" i="5"/>
  <c r="R248" i="5"/>
  <c r="P248" i="5"/>
  <c r="O248" i="5"/>
  <c r="T247" i="5"/>
  <c r="R247" i="5"/>
  <c r="P247" i="5"/>
  <c r="O247" i="5"/>
  <c r="U246" i="5"/>
  <c r="T246" i="5"/>
  <c r="R246" i="5"/>
  <c r="P246" i="5"/>
  <c r="O246" i="5"/>
  <c r="U245" i="5"/>
  <c r="T245" i="5"/>
  <c r="S245" i="5"/>
  <c r="R245" i="5"/>
  <c r="P245" i="5"/>
  <c r="O245" i="5"/>
  <c r="T244" i="5"/>
  <c r="S244" i="5"/>
  <c r="R244" i="5"/>
  <c r="P244" i="5"/>
  <c r="O244" i="5"/>
  <c r="T243" i="5"/>
  <c r="R243" i="5"/>
  <c r="P243" i="5"/>
  <c r="O243" i="5"/>
  <c r="U242" i="5"/>
  <c r="T242" i="5"/>
  <c r="R242" i="5"/>
  <c r="P242" i="5"/>
  <c r="O242" i="5"/>
  <c r="U241" i="5"/>
  <c r="T241" i="5"/>
  <c r="S241" i="5"/>
  <c r="R241" i="5"/>
  <c r="P241" i="5"/>
  <c r="O241" i="5"/>
  <c r="T240" i="5"/>
  <c r="S240" i="5"/>
  <c r="R240" i="5"/>
  <c r="P240" i="5"/>
  <c r="O240" i="5"/>
  <c r="T239" i="5"/>
  <c r="R239" i="5"/>
  <c r="P239" i="5"/>
  <c r="O239" i="5"/>
  <c r="U238" i="5"/>
  <c r="T238" i="5"/>
  <c r="R238" i="5"/>
  <c r="P238" i="5"/>
  <c r="O238" i="5"/>
  <c r="U237" i="5"/>
  <c r="T237" i="5"/>
  <c r="S237" i="5"/>
  <c r="R237" i="5"/>
  <c r="P237" i="5"/>
  <c r="O237" i="5"/>
  <c r="T236" i="5"/>
  <c r="S236" i="5"/>
  <c r="R236" i="5"/>
  <c r="P236" i="5"/>
  <c r="O236" i="5"/>
  <c r="T235" i="5"/>
  <c r="R235" i="5"/>
  <c r="P235" i="5"/>
  <c r="O235" i="5"/>
  <c r="U234" i="5"/>
  <c r="T234" i="5"/>
  <c r="R234" i="5"/>
  <c r="P234" i="5"/>
  <c r="O234" i="5"/>
  <c r="U233" i="5"/>
  <c r="T233" i="5"/>
  <c r="S233" i="5"/>
  <c r="R233" i="5"/>
  <c r="P233" i="5"/>
  <c r="O233" i="5"/>
  <c r="T232" i="5"/>
  <c r="S232" i="5"/>
  <c r="R232" i="5"/>
  <c r="P232" i="5"/>
  <c r="O232" i="5"/>
  <c r="T231" i="5"/>
  <c r="R231" i="5"/>
  <c r="P231" i="5"/>
  <c r="O231" i="5"/>
  <c r="U230" i="5"/>
  <c r="T230" i="5"/>
  <c r="R230" i="5"/>
  <c r="P230" i="5"/>
  <c r="O230" i="5"/>
  <c r="U229" i="5"/>
  <c r="T229" i="5"/>
  <c r="S229" i="5"/>
  <c r="R229" i="5"/>
  <c r="P229" i="5"/>
  <c r="O229" i="5"/>
  <c r="T228" i="5"/>
  <c r="S228" i="5"/>
  <c r="R228" i="5"/>
  <c r="P228" i="5"/>
  <c r="O228" i="5"/>
  <c r="T227" i="5"/>
  <c r="R227" i="5"/>
  <c r="P227" i="5"/>
  <c r="O227" i="5"/>
  <c r="U226" i="5"/>
  <c r="T226" i="5"/>
  <c r="R226" i="5"/>
  <c r="P226" i="5"/>
  <c r="O226" i="5"/>
  <c r="U225" i="5"/>
  <c r="T225" i="5"/>
  <c r="S225" i="5"/>
  <c r="R225" i="5"/>
  <c r="P225" i="5"/>
  <c r="O225" i="5"/>
  <c r="T224" i="5"/>
  <c r="S224" i="5"/>
  <c r="R224" i="5"/>
  <c r="P224" i="5"/>
  <c r="O224" i="5"/>
  <c r="T223" i="5"/>
  <c r="R223" i="5"/>
  <c r="P223" i="5"/>
  <c r="O223" i="5"/>
  <c r="U222" i="5"/>
  <c r="T222" i="5"/>
  <c r="R222" i="5"/>
  <c r="P222" i="5"/>
  <c r="O222" i="5"/>
  <c r="U221" i="5"/>
  <c r="T221" i="5"/>
  <c r="S221" i="5"/>
  <c r="R221" i="5"/>
  <c r="P221" i="5"/>
  <c r="O221" i="5"/>
  <c r="T220" i="5"/>
  <c r="S220" i="5"/>
  <c r="R220" i="5"/>
  <c r="P220" i="5"/>
  <c r="O220" i="5"/>
  <c r="T219" i="5"/>
  <c r="R219" i="5"/>
  <c r="P219" i="5"/>
  <c r="O219" i="5"/>
  <c r="U218" i="5"/>
  <c r="T218" i="5"/>
  <c r="R218" i="5"/>
  <c r="P218" i="5"/>
  <c r="O218" i="5"/>
  <c r="U217" i="5"/>
  <c r="T217" i="5"/>
  <c r="S217" i="5"/>
  <c r="R217" i="5"/>
  <c r="P217" i="5"/>
  <c r="O217" i="5"/>
  <c r="T216" i="5"/>
  <c r="S216" i="5"/>
  <c r="R216" i="5"/>
  <c r="P216" i="5"/>
  <c r="O216" i="5"/>
  <c r="T215" i="5"/>
  <c r="R215" i="5"/>
  <c r="P215" i="5"/>
  <c r="O215" i="5"/>
  <c r="U214" i="5"/>
  <c r="T214" i="5"/>
  <c r="R214" i="5"/>
  <c r="P214" i="5"/>
  <c r="O214" i="5"/>
  <c r="U213" i="5"/>
  <c r="T213" i="5"/>
  <c r="S213" i="5"/>
  <c r="R213" i="5"/>
  <c r="P213" i="5"/>
  <c r="O213" i="5"/>
  <c r="T212" i="5"/>
  <c r="S212" i="5"/>
  <c r="R212" i="5"/>
  <c r="P212" i="5"/>
  <c r="O212" i="5"/>
  <c r="T211" i="5"/>
  <c r="R211" i="5"/>
  <c r="P211" i="5"/>
  <c r="O211" i="5"/>
  <c r="U210" i="5"/>
  <c r="T210" i="5"/>
  <c r="R210" i="5"/>
  <c r="P210" i="5"/>
  <c r="O210" i="5"/>
  <c r="U209" i="5"/>
  <c r="T209" i="5"/>
  <c r="S209" i="5"/>
  <c r="R209" i="5"/>
  <c r="P209" i="5"/>
  <c r="O209" i="5"/>
  <c r="T208" i="5"/>
  <c r="S208" i="5"/>
  <c r="R208" i="5"/>
  <c r="P208" i="5"/>
  <c r="O208" i="5"/>
  <c r="T207" i="5"/>
  <c r="R207" i="5"/>
  <c r="P207" i="5"/>
  <c r="O207" i="5"/>
  <c r="U206" i="5"/>
  <c r="T206" i="5"/>
  <c r="R206" i="5"/>
  <c r="P206" i="5"/>
  <c r="O206" i="5"/>
  <c r="U205" i="5"/>
  <c r="T205" i="5"/>
  <c r="S205" i="5"/>
  <c r="R205" i="5"/>
  <c r="P205" i="5"/>
  <c r="O205" i="5"/>
  <c r="T204" i="5"/>
  <c r="S204" i="5"/>
  <c r="R204" i="5"/>
  <c r="P204" i="5"/>
  <c r="O204" i="5"/>
  <c r="T203" i="5"/>
  <c r="R203" i="5"/>
  <c r="P203" i="5"/>
  <c r="O203" i="5"/>
  <c r="U202" i="5"/>
  <c r="T202" i="5"/>
  <c r="R202" i="5"/>
  <c r="P202" i="5"/>
  <c r="O202" i="5"/>
  <c r="X71" i="5"/>
  <c r="W71" i="5"/>
  <c r="V71" i="5"/>
  <c r="T71" i="5"/>
  <c r="U71" i="5" s="1"/>
  <c r="R71" i="5"/>
  <c r="S71" i="5" s="1"/>
  <c r="N71" i="5"/>
  <c r="M71" i="5"/>
  <c r="L71" i="5"/>
  <c r="J71" i="5"/>
  <c r="H71" i="5"/>
  <c r="I71" i="5" s="1"/>
  <c r="K71" i="5" s="1"/>
  <c r="X70" i="5"/>
  <c r="W70" i="5"/>
  <c r="V70" i="5"/>
  <c r="U70" i="5"/>
  <c r="T70" i="5"/>
  <c r="R70" i="5"/>
  <c r="N70" i="5"/>
  <c r="M70" i="5"/>
  <c r="L70" i="5"/>
  <c r="H70" i="5"/>
  <c r="J70" i="5" s="1"/>
  <c r="X69" i="5"/>
  <c r="V69" i="5"/>
  <c r="W69" i="5" s="1"/>
  <c r="T69" i="5"/>
  <c r="U69" i="5" s="1"/>
  <c r="R69" i="5"/>
  <c r="S69" i="5" s="1"/>
  <c r="N69" i="5"/>
  <c r="O69" i="5" s="1"/>
  <c r="M69" i="5"/>
  <c r="L69" i="5"/>
  <c r="J69" i="5"/>
  <c r="I69" i="5"/>
  <c r="K69" i="5" s="1"/>
  <c r="H69" i="5"/>
  <c r="X68" i="5"/>
  <c r="W68" i="5"/>
  <c r="V68" i="5"/>
  <c r="U68" i="5"/>
  <c r="T68" i="5"/>
  <c r="R68" i="5"/>
  <c r="S68" i="5" s="1"/>
  <c r="N68" i="5"/>
  <c r="M68" i="5"/>
  <c r="L68" i="5"/>
  <c r="J68" i="5"/>
  <c r="K68" i="5" s="1"/>
  <c r="I68" i="5"/>
  <c r="H68" i="5"/>
  <c r="X67" i="5"/>
  <c r="V67" i="5"/>
  <c r="W67" i="5" s="1"/>
  <c r="T67" i="5"/>
  <c r="U67" i="5" s="1"/>
  <c r="S67" i="5"/>
  <c r="R67" i="5"/>
  <c r="N67" i="5"/>
  <c r="M67" i="5"/>
  <c r="L67" i="5"/>
  <c r="K67" i="5"/>
  <c r="J67" i="5"/>
  <c r="H67" i="5"/>
  <c r="I67" i="5" s="1"/>
  <c r="X66" i="5"/>
  <c r="W66" i="5"/>
  <c r="V66" i="5"/>
  <c r="T66" i="5"/>
  <c r="U66" i="5" s="1"/>
  <c r="S66" i="5"/>
  <c r="R66" i="5"/>
  <c r="N66" i="5"/>
  <c r="M66" i="5"/>
  <c r="L66" i="5"/>
  <c r="I66" i="5"/>
  <c r="H66" i="5"/>
  <c r="J66" i="5" s="1"/>
  <c r="X65" i="5"/>
  <c r="V65" i="5"/>
  <c r="W65" i="5" s="1"/>
  <c r="T65" i="5"/>
  <c r="R65" i="5"/>
  <c r="S65" i="5" s="1"/>
  <c r="P65" i="5"/>
  <c r="N65" i="5"/>
  <c r="M65" i="5"/>
  <c r="L65" i="5"/>
  <c r="H65" i="5"/>
  <c r="X64" i="5"/>
  <c r="V64" i="5"/>
  <c r="W63" i="5" s="1"/>
  <c r="U64" i="5"/>
  <c r="T64" i="5"/>
  <c r="S64" i="5"/>
  <c r="R64" i="5"/>
  <c r="N64" i="5"/>
  <c r="M64" i="5"/>
  <c r="L64" i="5"/>
  <c r="J64" i="5"/>
  <c r="I64" i="5"/>
  <c r="K64" i="5" s="1"/>
  <c r="H64" i="5"/>
  <c r="X63" i="5"/>
  <c r="V63" i="5"/>
  <c r="T63" i="5"/>
  <c r="U63" i="5" s="1"/>
  <c r="R63" i="5"/>
  <c r="S63" i="5" s="1"/>
  <c r="N63" i="5"/>
  <c r="M63" i="5"/>
  <c r="L63" i="5"/>
  <c r="J63" i="5"/>
  <c r="H63" i="5"/>
  <c r="I63" i="5" s="1"/>
  <c r="K63" i="5" s="1"/>
  <c r="X62" i="5"/>
  <c r="W62" i="5"/>
  <c r="V62" i="5"/>
  <c r="U62" i="5"/>
  <c r="T62" i="5"/>
  <c r="R62" i="5"/>
  <c r="P62" i="5"/>
  <c r="N62" i="5"/>
  <c r="M62" i="5"/>
  <c r="L62" i="5"/>
  <c r="H62" i="5"/>
  <c r="J62" i="5" s="1"/>
  <c r="X61" i="5"/>
  <c r="V61" i="5"/>
  <c r="W61" i="5" s="1"/>
  <c r="T61" i="5"/>
  <c r="U61" i="5" s="1"/>
  <c r="R61" i="5"/>
  <c r="S61" i="5" s="1"/>
  <c r="N61" i="5"/>
  <c r="M61" i="5"/>
  <c r="L61" i="5"/>
  <c r="J61" i="5"/>
  <c r="I61" i="5"/>
  <c r="K61" i="5" s="1"/>
  <c r="H61" i="5"/>
  <c r="X60" i="5"/>
  <c r="W60" i="5"/>
  <c r="V60" i="5"/>
  <c r="U60" i="5"/>
  <c r="T60" i="5"/>
  <c r="R60" i="5"/>
  <c r="S59" i="5" s="1"/>
  <c r="N60" i="5"/>
  <c r="M60" i="5"/>
  <c r="L60" i="5"/>
  <c r="J60" i="5"/>
  <c r="K60" i="5" s="1"/>
  <c r="I60" i="5"/>
  <c r="H60" i="5"/>
  <c r="X59" i="5"/>
  <c r="V59" i="5"/>
  <c r="W59" i="5" s="1"/>
  <c r="T59" i="5"/>
  <c r="U59" i="5" s="1"/>
  <c r="R59" i="5"/>
  <c r="N59" i="5"/>
  <c r="M59" i="5"/>
  <c r="L59" i="5"/>
  <c r="K59" i="5"/>
  <c r="J59" i="5"/>
  <c r="H59" i="5"/>
  <c r="I59" i="5" s="1"/>
  <c r="X58" i="5"/>
  <c r="W58" i="5"/>
  <c r="V58" i="5"/>
  <c r="T58" i="5"/>
  <c r="U58" i="5" s="1"/>
  <c r="S58" i="5"/>
  <c r="R58" i="5"/>
  <c r="O58" i="5"/>
  <c r="N58" i="5"/>
  <c r="M58" i="5"/>
  <c r="L58" i="5"/>
  <c r="I58" i="5"/>
  <c r="H58" i="5"/>
  <c r="J58" i="5" s="1"/>
  <c r="X57" i="5"/>
  <c r="V57" i="5"/>
  <c r="W57" i="5" s="1"/>
  <c r="U57" i="5"/>
  <c r="T57" i="5"/>
  <c r="R57" i="5"/>
  <c r="S57" i="5" s="1"/>
  <c r="N57" i="5"/>
  <c r="M57" i="5"/>
  <c r="L57" i="5"/>
  <c r="H57" i="5"/>
  <c r="X56" i="5"/>
  <c r="W56" i="5"/>
  <c r="V56" i="5"/>
  <c r="U56" i="5"/>
  <c r="T56" i="5"/>
  <c r="S56" i="5"/>
  <c r="R56" i="5"/>
  <c r="O56" i="5"/>
  <c r="N56" i="5"/>
  <c r="Q54" i="5" s="1"/>
  <c r="M56" i="5"/>
  <c r="L56" i="5"/>
  <c r="J56" i="5"/>
  <c r="I56" i="5"/>
  <c r="K56" i="5" s="1"/>
  <c r="H56" i="5"/>
  <c r="X55" i="5"/>
  <c r="W55" i="5"/>
  <c r="V55" i="5"/>
  <c r="T55" i="5"/>
  <c r="U55" i="5" s="1"/>
  <c r="R55" i="5"/>
  <c r="S55" i="5" s="1"/>
  <c r="N55" i="5"/>
  <c r="Q55" i="5" s="1"/>
  <c r="M55" i="5"/>
  <c r="L55" i="5"/>
  <c r="J55" i="5"/>
  <c r="H55" i="5"/>
  <c r="I55" i="5" s="1"/>
  <c r="X54" i="5"/>
  <c r="W54" i="5"/>
  <c r="V54" i="5"/>
  <c r="U54" i="5"/>
  <c r="T54" i="5"/>
  <c r="S54" i="5"/>
  <c r="R54" i="5"/>
  <c r="N54" i="5"/>
  <c r="M54" i="5"/>
  <c r="L54" i="5"/>
  <c r="I54" i="5"/>
  <c r="K54" i="5" s="1"/>
  <c r="H54" i="5"/>
  <c r="J54" i="5" s="1"/>
  <c r="X53" i="5"/>
  <c r="V53" i="5"/>
  <c r="W53" i="5" s="1"/>
  <c r="T53" i="5"/>
  <c r="U53" i="5" s="1"/>
  <c r="R53" i="5"/>
  <c r="S53" i="5" s="1"/>
  <c r="Q53" i="5"/>
  <c r="N53" i="5"/>
  <c r="M53" i="5"/>
  <c r="L53" i="5"/>
  <c r="J53" i="5"/>
  <c r="I53" i="5"/>
  <c r="H53" i="5"/>
  <c r="X52" i="5"/>
  <c r="W52" i="5"/>
  <c r="V52" i="5"/>
  <c r="U52" i="5"/>
  <c r="T52" i="5"/>
  <c r="R52" i="5"/>
  <c r="S52" i="5" s="1"/>
  <c r="N52" i="5"/>
  <c r="M52" i="5"/>
  <c r="L52" i="5"/>
  <c r="J52" i="5"/>
  <c r="K52" i="5" s="1"/>
  <c r="I52" i="5"/>
  <c r="H52" i="5"/>
  <c r="X51" i="5"/>
  <c r="V51" i="5"/>
  <c r="W51" i="5" s="1"/>
  <c r="T51" i="5"/>
  <c r="U51" i="5" s="1"/>
  <c r="S51" i="5"/>
  <c r="R51" i="5"/>
  <c r="N51" i="5"/>
  <c r="O50" i="5" s="1"/>
  <c r="M51" i="5"/>
  <c r="L51" i="5"/>
  <c r="H51" i="5"/>
  <c r="J51" i="5" s="1"/>
  <c r="X50" i="5"/>
  <c r="W50" i="5"/>
  <c r="V50" i="5"/>
  <c r="U50" i="5"/>
  <c r="T50" i="5"/>
  <c r="U49" i="5" s="1"/>
  <c r="S50" i="5"/>
  <c r="R50" i="5"/>
  <c r="N50" i="5"/>
  <c r="M50" i="5"/>
  <c r="L50" i="5"/>
  <c r="I50" i="5"/>
  <c r="K50" i="5" s="1"/>
  <c r="H50" i="5"/>
  <c r="J50" i="5" s="1"/>
  <c r="X49" i="5"/>
  <c r="V49" i="5"/>
  <c r="W49" i="5" s="1"/>
  <c r="T49" i="5"/>
  <c r="R49" i="5"/>
  <c r="S49" i="5" s="1"/>
  <c r="N49" i="5"/>
  <c r="O47" i="5" s="1"/>
  <c r="M49" i="5"/>
  <c r="L49" i="5"/>
  <c r="H49" i="5"/>
  <c r="X48" i="5"/>
  <c r="V48" i="5"/>
  <c r="W47" i="5" s="1"/>
  <c r="U48" i="5"/>
  <c r="T48" i="5"/>
  <c r="S48" i="5"/>
  <c r="R48" i="5"/>
  <c r="N48" i="5"/>
  <c r="M48" i="5"/>
  <c r="L48" i="5"/>
  <c r="J48" i="5"/>
  <c r="I48" i="5"/>
  <c r="K48" i="5" s="1"/>
  <c r="H48" i="5"/>
  <c r="X47" i="5"/>
  <c r="V47" i="5"/>
  <c r="T47" i="5"/>
  <c r="U47" i="5" s="1"/>
  <c r="R47" i="5"/>
  <c r="S47" i="5" s="1"/>
  <c r="P47" i="5"/>
  <c r="N47" i="5"/>
  <c r="M47" i="5"/>
  <c r="L47" i="5"/>
  <c r="H47" i="5"/>
  <c r="I47" i="5" s="1"/>
  <c r="X46" i="5"/>
  <c r="W46" i="5"/>
  <c r="V46" i="5"/>
  <c r="U46" i="5"/>
  <c r="T46" i="5"/>
  <c r="S46" i="5"/>
  <c r="R46" i="5"/>
  <c r="Q46" i="5"/>
  <c r="N46" i="5"/>
  <c r="M46" i="5"/>
  <c r="L46" i="5"/>
  <c r="H46" i="5"/>
  <c r="J46" i="5" s="1"/>
  <c r="X45" i="5"/>
  <c r="V45" i="5"/>
  <c r="W45" i="5" s="1"/>
  <c r="T45" i="5"/>
  <c r="U45" i="5" s="1"/>
  <c r="R45" i="5"/>
  <c r="S45" i="5" s="1"/>
  <c r="N45" i="5"/>
  <c r="M45" i="5"/>
  <c r="L45" i="5"/>
  <c r="J45" i="5"/>
  <c r="I45" i="5"/>
  <c r="H45" i="5"/>
  <c r="X44" i="5"/>
  <c r="W44" i="5"/>
  <c r="V44" i="5"/>
  <c r="T44" i="5"/>
  <c r="S44" i="5"/>
  <c r="R44" i="5"/>
  <c r="N44" i="5"/>
  <c r="P44" i="5" s="1"/>
  <c r="M44" i="5"/>
  <c r="L44" i="5"/>
  <c r="J44" i="5"/>
  <c r="K44" i="5" s="1"/>
  <c r="I44" i="5"/>
  <c r="H44" i="5"/>
  <c r="X43" i="5"/>
  <c r="V43" i="5"/>
  <c r="W43" i="5" s="1"/>
  <c r="T43" i="5"/>
  <c r="U43" i="5" s="1"/>
  <c r="S43" i="5"/>
  <c r="R43" i="5"/>
  <c r="N43" i="5"/>
  <c r="M43" i="5"/>
  <c r="L43" i="5"/>
  <c r="J43" i="5"/>
  <c r="H43" i="5"/>
  <c r="I43" i="5" s="1"/>
  <c r="K43" i="5" s="1"/>
  <c r="X42" i="5"/>
  <c r="V42" i="5"/>
  <c r="T42" i="5"/>
  <c r="U41" i="5" s="1"/>
  <c r="S42" i="5"/>
  <c r="R42" i="5"/>
  <c r="O42" i="5"/>
  <c r="N42" i="5"/>
  <c r="M42" i="5"/>
  <c r="L42" i="5"/>
  <c r="I42" i="5"/>
  <c r="H42" i="5"/>
  <c r="J42" i="5" s="1"/>
  <c r="X41" i="5"/>
  <c r="V41" i="5"/>
  <c r="W41" i="5" s="1"/>
  <c r="T41" i="5"/>
  <c r="R41" i="5"/>
  <c r="S41" i="5" s="1"/>
  <c r="N41" i="5"/>
  <c r="M41" i="5"/>
  <c r="L41" i="5"/>
  <c r="H41" i="5"/>
  <c r="X40" i="5"/>
  <c r="V40" i="5"/>
  <c r="W39" i="5" s="1"/>
  <c r="U40" i="5"/>
  <c r="T40" i="5"/>
  <c r="S40" i="5"/>
  <c r="R40" i="5"/>
  <c r="O40" i="5"/>
  <c r="N40" i="5"/>
  <c r="M40" i="5"/>
  <c r="L40" i="5"/>
  <c r="J40" i="5"/>
  <c r="I40" i="5"/>
  <c r="K40" i="5" s="1"/>
  <c r="H40" i="5"/>
  <c r="Y39" i="5"/>
  <c r="X39" i="5"/>
  <c r="Y38" i="5" s="1"/>
  <c r="V39" i="5"/>
  <c r="U39" i="5"/>
  <c r="T39" i="5"/>
  <c r="S39" i="5"/>
  <c r="R39" i="5"/>
  <c r="P39" i="5"/>
  <c r="N39" i="5"/>
  <c r="M39" i="5"/>
  <c r="L39" i="5"/>
  <c r="H39" i="5"/>
  <c r="J39" i="5" s="1"/>
  <c r="X38" i="5"/>
  <c r="W38" i="5"/>
  <c r="V38" i="5"/>
  <c r="U38" i="5"/>
  <c r="T38" i="5"/>
  <c r="R38" i="5"/>
  <c r="S37" i="5" s="1"/>
  <c r="N38" i="5"/>
  <c r="P38" i="5" s="1"/>
  <c r="M38" i="5"/>
  <c r="L38" i="5"/>
  <c r="K38" i="5"/>
  <c r="J38" i="5"/>
  <c r="I38" i="5"/>
  <c r="H38" i="5"/>
  <c r="Y37" i="5"/>
  <c r="X37" i="5"/>
  <c r="W37" i="5"/>
  <c r="V37" i="5"/>
  <c r="U37" i="5"/>
  <c r="T37" i="5"/>
  <c r="U36" i="5" s="1"/>
  <c r="R37" i="5"/>
  <c r="O37" i="5"/>
  <c r="N37" i="5"/>
  <c r="M37" i="5"/>
  <c r="L37" i="5"/>
  <c r="I37" i="5"/>
  <c r="K37" i="5" s="1"/>
  <c r="H37" i="5"/>
  <c r="J37" i="5" s="1"/>
  <c r="Y36" i="5"/>
  <c r="X36" i="5"/>
  <c r="V36" i="5"/>
  <c r="W35" i="5" s="1"/>
  <c r="T36" i="5"/>
  <c r="S36" i="5"/>
  <c r="R36" i="5"/>
  <c r="N36" i="5"/>
  <c r="M36" i="5"/>
  <c r="L36" i="5"/>
  <c r="J36" i="5"/>
  <c r="I36" i="5"/>
  <c r="K36" i="5" s="1"/>
  <c r="H36" i="5"/>
  <c r="Y35" i="5"/>
  <c r="X35" i="5"/>
  <c r="Y34" i="5" s="1"/>
  <c r="V35" i="5"/>
  <c r="U35" i="5"/>
  <c r="T35" i="5"/>
  <c r="S35" i="5"/>
  <c r="R35" i="5"/>
  <c r="P35" i="5"/>
  <c r="N35" i="5"/>
  <c r="M35" i="5"/>
  <c r="L35" i="5"/>
  <c r="I35" i="5"/>
  <c r="K35" i="5" s="1"/>
  <c r="H35" i="5"/>
  <c r="J35" i="5" s="1"/>
  <c r="X34" i="5"/>
  <c r="W34" i="5"/>
  <c r="V34" i="5"/>
  <c r="U34" i="5"/>
  <c r="T34" i="5"/>
  <c r="R34" i="5"/>
  <c r="S33" i="5" s="1"/>
  <c r="N34" i="5"/>
  <c r="M34" i="5"/>
  <c r="L34" i="5"/>
  <c r="J34" i="5"/>
  <c r="K34" i="5" s="1"/>
  <c r="I34" i="5"/>
  <c r="H34" i="5"/>
  <c r="Y33" i="5"/>
  <c r="X33" i="5"/>
  <c r="W33" i="5"/>
  <c r="V33" i="5"/>
  <c r="T33" i="5"/>
  <c r="U33" i="5" s="1"/>
  <c r="R33" i="5"/>
  <c r="Q33" i="5"/>
  <c r="N33" i="5"/>
  <c r="M33" i="5"/>
  <c r="L33" i="5"/>
  <c r="I33" i="5"/>
  <c r="H33" i="5"/>
  <c r="J33" i="5" s="1"/>
  <c r="K33" i="5" s="1"/>
  <c r="Y32" i="5"/>
  <c r="X32" i="5"/>
  <c r="W32" i="5"/>
  <c r="V32" i="5"/>
  <c r="U32" i="5"/>
  <c r="T32" i="5"/>
  <c r="S32" i="5"/>
  <c r="R32" i="5"/>
  <c r="Q32" i="5"/>
  <c r="N32" i="5"/>
  <c r="O31" i="5" s="1"/>
  <c r="M32" i="5"/>
  <c r="L32" i="5"/>
  <c r="J32" i="5"/>
  <c r="I32" i="5"/>
  <c r="K32" i="5" s="1"/>
  <c r="H32" i="5"/>
  <c r="X31" i="5"/>
  <c r="Y31" i="5" s="1"/>
  <c r="W31" i="5"/>
  <c r="V31" i="5"/>
  <c r="U31" i="5"/>
  <c r="T31" i="5"/>
  <c r="S31" i="5"/>
  <c r="R31" i="5"/>
  <c r="P31" i="5"/>
  <c r="N31" i="5"/>
  <c r="M31" i="5"/>
  <c r="L31" i="5"/>
  <c r="I31" i="5"/>
  <c r="K31" i="5" s="1"/>
  <c r="H31" i="5"/>
  <c r="J31" i="5" s="1"/>
  <c r="Y30" i="5"/>
  <c r="X30" i="5"/>
  <c r="W30" i="5"/>
  <c r="V30" i="5"/>
  <c r="U30" i="5"/>
  <c r="T30" i="5"/>
  <c r="S30" i="5"/>
  <c r="R30" i="5"/>
  <c r="N30" i="5"/>
  <c r="M30" i="5"/>
  <c r="L30" i="5"/>
  <c r="J30" i="5"/>
  <c r="K30" i="5" s="1"/>
  <c r="I30" i="5"/>
  <c r="H30" i="5"/>
  <c r="Y29" i="5"/>
  <c r="X29" i="5"/>
  <c r="W29" i="5"/>
  <c r="V29" i="5"/>
  <c r="T29" i="5"/>
  <c r="U29" i="5" s="1"/>
  <c r="S29" i="5"/>
  <c r="R29" i="5"/>
  <c r="N29" i="5"/>
  <c r="M29" i="5"/>
  <c r="L29" i="5"/>
  <c r="K29" i="5"/>
  <c r="I29" i="5"/>
  <c r="H29" i="5"/>
  <c r="J29" i="5" s="1"/>
  <c r="Y28" i="5"/>
  <c r="X28" i="5"/>
  <c r="W28" i="5"/>
  <c r="V28" i="5"/>
  <c r="T28" i="5"/>
  <c r="S28" i="5"/>
  <c r="R28" i="5"/>
  <c r="N28" i="5"/>
  <c r="M28" i="5"/>
  <c r="L28" i="5"/>
  <c r="K28" i="5"/>
  <c r="J28" i="5"/>
  <c r="I28" i="5"/>
  <c r="H28" i="5"/>
  <c r="X27" i="5"/>
  <c r="Y27" i="5" s="1"/>
  <c r="W27" i="5"/>
  <c r="V27" i="5"/>
  <c r="U27" i="5"/>
  <c r="T27" i="5"/>
  <c r="S27" i="5"/>
  <c r="R27" i="5"/>
  <c r="O27" i="5"/>
  <c r="N27" i="5"/>
  <c r="M27" i="5"/>
  <c r="L27" i="5"/>
  <c r="K27" i="5"/>
  <c r="I27" i="5"/>
  <c r="H27" i="5"/>
  <c r="J27" i="5" s="1"/>
  <c r="Y26" i="5"/>
  <c r="X26" i="5"/>
  <c r="W26" i="5"/>
  <c r="V26" i="5"/>
  <c r="U26" i="5"/>
  <c r="T26" i="5"/>
  <c r="S26" i="5"/>
  <c r="R26" i="5"/>
  <c r="O26" i="5"/>
  <c r="N26" i="5"/>
  <c r="M26" i="5"/>
  <c r="L26" i="5"/>
  <c r="K26" i="5"/>
  <c r="J26" i="5"/>
  <c r="I26" i="5"/>
  <c r="H26" i="5"/>
  <c r="Y25" i="5"/>
  <c r="X25" i="5"/>
  <c r="W25" i="5"/>
  <c r="V25" i="5"/>
  <c r="U25" i="5"/>
  <c r="T25" i="5"/>
  <c r="S25" i="5"/>
  <c r="R25" i="5"/>
  <c r="O25" i="5"/>
  <c r="N25" i="5"/>
  <c r="M25" i="5"/>
  <c r="L25" i="5"/>
  <c r="K25" i="5"/>
  <c r="I25" i="5"/>
  <c r="H25" i="5"/>
  <c r="J25" i="5" s="1"/>
  <c r="Y24" i="5"/>
  <c r="X24" i="5"/>
  <c r="W24" i="5"/>
  <c r="V24" i="5"/>
  <c r="U24" i="5"/>
  <c r="T24" i="5"/>
  <c r="S24" i="5"/>
  <c r="R24" i="5"/>
  <c r="N24" i="5"/>
  <c r="O21" i="5" s="1"/>
  <c r="M24" i="5"/>
  <c r="L24" i="5"/>
  <c r="K24" i="5"/>
  <c r="J24" i="5"/>
  <c r="I24" i="5"/>
  <c r="H24" i="5"/>
  <c r="X23" i="5"/>
  <c r="Y23" i="5" s="1"/>
  <c r="W23" i="5"/>
  <c r="V23" i="5"/>
  <c r="U23" i="5"/>
  <c r="T23" i="5"/>
  <c r="S23" i="5"/>
  <c r="R23" i="5"/>
  <c r="P23" i="5"/>
  <c r="N23" i="5"/>
  <c r="M23" i="5"/>
  <c r="L23" i="5"/>
  <c r="I23" i="5"/>
  <c r="K23" i="5" s="1"/>
  <c r="H23" i="5"/>
  <c r="J23" i="5" s="1"/>
  <c r="Y22" i="5"/>
  <c r="X22" i="5"/>
  <c r="W22" i="5"/>
  <c r="V22" i="5"/>
  <c r="U22" i="5"/>
  <c r="T22" i="5"/>
  <c r="S22" i="5"/>
  <c r="R22" i="5"/>
  <c r="Q22" i="5"/>
  <c r="N22" i="5"/>
  <c r="M22" i="5"/>
  <c r="L22" i="5"/>
  <c r="J22" i="5"/>
  <c r="I22" i="5"/>
  <c r="K22" i="5" s="1"/>
  <c r="H22" i="5"/>
  <c r="Y21" i="5"/>
  <c r="X21" i="5"/>
  <c r="W21" i="5"/>
  <c r="V21" i="5"/>
  <c r="T21" i="5"/>
  <c r="U21" i="5" s="1"/>
  <c r="S21" i="5"/>
  <c r="R21" i="5"/>
  <c r="N21" i="5"/>
  <c r="M21" i="5"/>
  <c r="L21" i="5"/>
  <c r="H21" i="5"/>
  <c r="J21" i="5" s="1"/>
  <c r="Y20" i="5"/>
  <c r="X20" i="5"/>
  <c r="W20" i="5"/>
  <c r="V20" i="5"/>
  <c r="T20" i="5"/>
  <c r="R20" i="5"/>
  <c r="S20" i="5" s="1"/>
  <c r="N20" i="5"/>
  <c r="O19" i="5" s="1"/>
  <c r="M20" i="5"/>
  <c r="L20" i="5"/>
  <c r="J20" i="5"/>
  <c r="I20" i="5"/>
  <c r="K20" i="5" s="1"/>
  <c r="H20" i="5"/>
  <c r="Y19" i="5"/>
  <c r="X19" i="5"/>
  <c r="W19" i="5"/>
  <c r="V19" i="5"/>
  <c r="T19" i="5"/>
  <c r="U19" i="5" s="1"/>
  <c r="S19" i="5"/>
  <c r="R19" i="5"/>
  <c r="N19" i="5"/>
  <c r="M19" i="5"/>
  <c r="L19" i="5"/>
  <c r="H19" i="5"/>
  <c r="J19" i="5" s="1"/>
  <c r="Y18" i="5"/>
  <c r="X18" i="5"/>
  <c r="V18" i="5"/>
  <c r="W18" i="5" s="1"/>
  <c r="U18" i="5"/>
  <c r="T18" i="5"/>
  <c r="R18" i="5"/>
  <c r="S18" i="5" s="1"/>
  <c r="N18" i="5"/>
  <c r="M18" i="5"/>
  <c r="L18" i="5"/>
  <c r="K18" i="5"/>
  <c r="J18" i="5"/>
  <c r="I18" i="5"/>
  <c r="H18" i="5"/>
  <c r="X17" i="5"/>
  <c r="Y17" i="5" s="1"/>
  <c r="W17" i="5"/>
  <c r="V17" i="5"/>
  <c r="U17" i="5"/>
  <c r="T17" i="5"/>
  <c r="S17" i="5"/>
  <c r="R17" i="5"/>
  <c r="N17" i="5"/>
  <c r="M17" i="5"/>
  <c r="L17" i="5"/>
  <c r="K17" i="5"/>
  <c r="I17" i="5"/>
  <c r="H17" i="5"/>
  <c r="J17" i="5" s="1"/>
  <c r="Y16" i="5"/>
  <c r="X16" i="5"/>
  <c r="V16" i="5"/>
  <c r="W16" i="5" s="1"/>
  <c r="U16" i="5"/>
  <c r="T16" i="5"/>
  <c r="S16" i="5"/>
  <c r="R16" i="5"/>
  <c r="N16" i="5"/>
  <c r="M16" i="5"/>
  <c r="L16" i="5"/>
  <c r="K16" i="5"/>
  <c r="J16" i="5"/>
  <c r="I16" i="5"/>
  <c r="H16" i="5"/>
  <c r="X15" i="5"/>
  <c r="Y15" i="5" s="1"/>
  <c r="W15" i="5"/>
  <c r="V15" i="5"/>
  <c r="T15" i="5"/>
  <c r="U15" i="5" s="1"/>
  <c r="S15" i="5"/>
  <c r="R15" i="5"/>
  <c r="O15" i="5"/>
  <c r="N15" i="5"/>
  <c r="M15" i="5"/>
  <c r="L15" i="5"/>
  <c r="H15" i="5"/>
  <c r="J15" i="5" s="1"/>
  <c r="Y14" i="5"/>
  <c r="X14" i="5"/>
  <c r="V14" i="5"/>
  <c r="W14" i="5" s="1"/>
  <c r="U14" i="5"/>
  <c r="T14" i="5"/>
  <c r="R14" i="5"/>
  <c r="S14" i="5" s="1"/>
  <c r="O14" i="5"/>
  <c r="N14" i="5"/>
  <c r="M14" i="5"/>
  <c r="L14" i="5"/>
  <c r="J14" i="5"/>
  <c r="I14" i="5"/>
  <c r="K14" i="5" s="1"/>
  <c r="H14" i="5"/>
  <c r="Y13" i="5"/>
  <c r="X13" i="5"/>
  <c r="W13" i="5"/>
  <c r="V13" i="5"/>
  <c r="T13" i="5"/>
  <c r="U13" i="5" s="1"/>
  <c r="S13" i="5"/>
  <c r="R13" i="5"/>
  <c r="Q13" i="5"/>
  <c r="O13" i="5"/>
  <c r="N13" i="5"/>
  <c r="M13" i="5"/>
  <c r="L13" i="5"/>
  <c r="H13" i="5"/>
  <c r="J13" i="5" s="1"/>
  <c r="Y12" i="5"/>
  <c r="X12" i="5"/>
  <c r="W12" i="5"/>
  <c r="V12" i="5"/>
  <c r="T12" i="5"/>
  <c r="U12" i="5" s="1"/>
  <c r="R12" i="5"/>
  <c r="S12" i="5" s="1"/>
  <c r="O12" i="5"/>
  <c r="N12" i="5"/>
  <c r="P12" i="5" s="1"/>
  <c r="M12" i="5"/>
  <c r="L12" i="5"/>
  <c r="J12" i="5"/>
  <c r="I12" i="5"/>
  <c r="K12" i="5" s="1"/>
  <c r="H12" i="5"/>
  <c r="Y11" i="5"/>
  <c r="X11" i="5"/>
  <c r="Y10" i="5" s="1"/>
  <c r="W11" i="5"/>
  <c r="V11" i="5"/>
  <c r="T11" i="5"/>
  <c r="U11" i="5" s="1"/>
  <c r="R11" i="5"/>
  <c r="P11" i="5"/>
  <c r="N11" i="5"/>
  <c r="M11" i="5"/>
  <c r="L11" i="5"/>
  <c r="I11" i="5"/>
  <c r="H11" i="5"/>
  <c r="J11" i="5" s="1"/>
  <c r="K11" i="5" s="1"/>
  <c r="X10" i="5"/>
  <c r="V10" i="5"/>
  <c r="W10" i="5" s="1"/>
  <c r="U10" i="5"/>
  <c r="T10" i="5"/>
  <c r="S10" i="5"/>
  <c r="R10" i="5"/>
  <c r="S9" i="5" s="1"/>
  <c r="N10" i="5"/>
  <c r="O8" i="5" s="1"/>
  <c r="M10" i="5"/>
  <c r="L10" i="5"/>
  <c r="K10" i="5"/>
  <c r="J10" i="5"/>
  <c r="I10" i="5"/>
  <c r="H10" i="5"/>
  <c r="X9" i="5"/>
  <c r="Y9" i="5" s="1"/>
  <c r="W9" i="5"/>
  <c r="V9" i="5"/>
  <c r="U9" i="5"/>
  <c r="T9" i="5"/>
  <c r="R9" i="5"/>
  <c r="P9" i="5"/>
  <c r="O9" i="5"/>
  <c r="N9" i="5"/>
  <c r="M9" i="5"/>
  <c r="L9" i="5"/>
  <c r="H9" i="5"/>
  <c r="J9" i="5" s="1"/>
  <c r="Y8" i="5"/>
  <c r="X8" i="5"/>
  <c r="W8" i="5"/>
  <c r="V8" i="5"/>
  <c r="T8" i="5"/>
  <c r="U8" i="5" s="1"/>
  <c r="R8" i="5"/>
  <c r="S8" i="5" s="1"/>
  <c r="Q8" i="5"/>
  <c r="N8" i="5"/>
  <c r="P8" i="5" s="1"/>
  <c r="M8" i="5"/>
  <c r="L8" i="5"/>
  <c r="J8" i="5"/>
  <c r="I8" i="5"/>
  <c r="K8" i="5" s="1"/>
  <c r="H8" i="5"/>
  <c r="Y7" i="5"/>
  <c r="X7" i="5"/>
  <c r="Y6" i="5" s="1"/>
  <c r="V7" i="5"/>
  <c r="W7" i="5" s="1"/>
  <c r="T7" i="5"/>
  <c r="U7" i="5" s="1"/>
  <c r="S7" i="5"/>
  <c r="R7" i="5"/>
  <c r="N7" i="5"/>
  <c r="M7" i="5"/>
  <c r="L7" i="5"/>
  <c r="I7" i="5"/>
  <c r="H7" i="5"/>
  <c r="J7" i="5" s="1"/>
  <c r="K7" i="5" s="1"/>
  <c r="X6" i="5"/>
  <c r="V6" i="5"/>
  <c r="W6" i="5" s="1"/>
  <c r="U6" i="5"/>
  <c r="T6" i="5"/>
  <c r="S6" i="5"/>
  <c r="R6" i="5"/>
  <c r="N6" i="5"/>
  <c r="O4" i="5" s="1"/>
  <c r="M6" i="5"/>
  <c r="L6" i="5"/>
  <c r="K6" i="5"/>
  <c r="J6" i="5"/>
  <c r="I6" i="5"/>
  <c r="H6" i="5"/>
  <c r="X5" i="5"/>
  <c r="Y5" i="5" s="1"/>
  <c r="W5" i="5"/>
  <c r="V5" i="5"/>
  <c r="U5" i="5"/>
  <c r="T5" i="5"/>
  <c r="R5" i="5"/>
  <c r="S5" i="5" s="1"/>
  <c r="P5" i="5"/>
  <c r="O5" i="5"/>
  <c r="N5" i="5"/>
  <c r="M5" i="5"/>
  <c r="L5" i="5"/>
  <c r="H5" i="5"/>
  <c r="J5" i="5" s="1"/>
  <c r="Y4" i="5"/>
  <c r="X4" i="5"/>
  <c r="W4" i="5"/>
  <c r="V4" i="5"/>
  <c r="W3" i="5" s="1"/>
  <c r="T4" i="5"/>
  <c r="U4" i="5" s="1"/>
  <c r="R4" i="5"/>
  <c r="S4" i="5" s="1"/>
  <c r="Q4" i="5"/>
  <c r="N4" i="5"/>
  <c r="P4" i="5" s="1"/>
  <c r="M4" i="5"/>
  <c r="L4" i="5"/>
  <c r="J4" i="5"/>
  <c r="I4" i="5"/>
  <c r="K4" i="5" s="1"/>
  <c r="H4" i="5"/>
  <c r="Y3" i="5"/>
  <c r="X3" i="5"/>
  <c r="Y2" i="5" s="1"/>
  <c r="V3" i="5"/>
  <c r="T3" i="5"/>
  <c r="U3" i="5" s="1"/>
  <c r="S3" i="5"/>
  <c r="R3" i="5"/>
  <c r="N3" i="5"/>
  <c r="M3" i="5"/>
  <c r="L3" i="5"/>
  <c r="I3" i="5"/>
  <c r="H3" i="5"/>
  <c r="J3" i="5" s="1"/>
  <c r="K3" i="5" s="1"/>
  <c r="X2" i="5"/>
  <c r="V2" i="5"/>
  <c r="W2" i="5" s="1"/>
  <c r="U2" i="5"/>
  <c r="T2" i="5"/>
  <c r="S2" i="5"/>
  <c r="R2" i="5"/>
  <c r="N2" i="5"/>
  <c r="Q2" i="5" s="1"/>
  <c r="M2" i="5"/>
  <c r="L2" i="5"/>
  <c r="K2" i="5"/>
  <c r="J2" i="5"/>
  <c r="I2" i="5"/>
  <c r="H2" i="5"/>
  <c r="T269" i="4"/>
  <c r="U269" i="4" s="1"/>
  <c r="R269" i="4"/>
  <c r="S269" i="4" s="1"/>
  <c r="P269" i="4"/>
  <c r="O269" i="4"/>
  <c r="T268" i="4"/>
  <c r="U268" i="4" s="1"/>
  <c r="R268" i="4"/>
  <c r="S268" i="4" s="1"/>
  <c r="P268" i="4"/>
  <c r="O268" i="4"/>
  <c r="T267" i="4"/>
  <c r="U267" i="4" s="1"/>
  <c r="S267" i="4"/>
  <c r="R267" i="4"/>
  <c r="P267" i="4"/>
  <c r="O267" i="4"/>
  <c r="T266" i="4"/>
  <c r="R266" i="4"/>
  <c r="S266" i="4" s="1"/>
  <c r="P266" i="4"/>
  <c r="O266" i="4"/>
  <c r="T265" i="4"/>
  <c r="U265" i="4" s="1"/>
  <c r="R265" i="4"/>
  <c r="S265" i="4" s="1"/>
  <c r="P265" i="4"/>
  <c r="O265" i="4"/>
  <c r="U264" i="4"/>
  <c r="T264" i="4"/>
  <c r="R264" i="4"/>
  <c r="S264" i="4" s="1"/>
  <c r="P264" i="4"/>
  <c r="O264" i="4"/>
  <c r="T263" i="4"/>
  <c r="U263" i="4" s="1"/>
  <c r="S263" i="4"/>
  <c r="R263" i="4"/>
  <c r="P263" i="4"/>
  <c r="O263" i="4"/>
  <c r="T262" i="4"/>
  <c r="U262" i="4" s="1"/>
  <c r="R262" i="4"/>
  <c r="S262" i="4" s="1"/>
  <c r="P262" i="4"/>
  <c r="O262" i="4"/>
  <c r="T261" i="4"/>
  <c r="U261" i="4" s="1"/>
  <c r="R261" i="4"/>
  <c r="S260" i="4" s="1"/>
  <c r="P261" i="4"/>
  <c r="O261" i="4"/>
  <c r="U260" i="4"/>
  <c r="T260" i="4"/>
  <c r="R260" i="4"/>
  <c r="P260" i="4"/>
  <c r="O260" i="4"/>
  <c r="T259" i="4"/>
  <c r="U259" i="4" s="1"/>
  <c r="S259" i="4"/>
  <c r="R259" i="4"/>
  <c r="P259" i="4"/>
  <c r="O259" i="4"/>
  <c r="T258" i="4"/>
  <c r="U257" i="4" s="1"/>
  <c r="R258" i="4"/>
  <c r="S258" i="4" s="1"/>
  <c r="P258" i="4"/>
  <c r="O258" i="4"/>
  <c r="T257" i="4"/>
  <c r="R257" i="4"/>
  <c r="P257" i="4"/>
  <c r="O257" i="4"/>
  <c r="U256" i="4"/>
  <c r="T256" i="4"/>
  <c r="R256" i="4"/>
  <c r="S256" i="4" s="1"/>
  <c r="P256" i="4"/>
  <c r="O256" i="4"/>
  <c r="T255" i="4"/>
  <c r="U255" i="4" s="1"/>
  <c r="S255" i="4"/>
  <c r="R255" i="4"/>
  <c r="P255" i="4"/>
  <c r="O255" i="4"/>
  <c r="T254" i="4"/>
  <c r="R254" i="4"/>
  <c r="S254" i="4" s="1"/>
  <c r="P254" i="4"/>
  <c r="O254" i="4"/>
  <c r="T253" i="4"/>
  <c r="U253" i="4" s="1"/>
  <c r="R253" i="4"/>
  <c r="S253" i="4" s="1"/>
  <c r="P253" i="4"/>
  <c r="O253" i="4"/>
  <c r="U252" i="4"/>
  <c r="T252" i="4"/>
  <c r="R252" i="4"/>
  <c r="S252" i="4" s="1"/>
  <c r="P252" i="4"/>
  <c r="O252" i="4"/>
  <c r="T251" i="4"/>
  <c r="U251" i="4" s="1"/>
  <c r="S251" i="4"/>
  <c r="R251" i="4"/>
  <c r="P251" i="4"/>
  <c r="O251" i="4"/>
  <c r="T250" i="4"/>
  <c r="R250" i="4"/>
  <c r="S250" i="4" s="1"/>
  <c r="P250" i="4"/>
  <c r="O250" i="4"/>
  <c r="T249" i="4"/>
  <c r="U249" i="4" s="1"/>
  <c r="R249" i="4"/>
  <c r="S249" i="4" s="1"/>
  <c r="P249" i="4"/>
  <c r="O249" i="4"/>
  <c r="U248" i="4"/>
  <c r="T248" i="4"/>
  <c r="R248" i="4"/>
  <c r="S248" i="4" s="1"/>
  <c r="P248" i="4"/>
  <c r="O248" i="4"/>
  <c r="T247" i="4"/>
  <c r="U247" i="4" s="1"/>
  <c r="S247" i="4"/>
  <c r="R247" i="4"/>
  <c r="P247" i="4"/>
  <c r="O247" i="4"/>
  <c r="T246" i="4"/>
  <c r="U246" i="4" s="1"/>
  <c r="R246" i="4"/>
  <c r="S246" i="4" s="1"/>
  <c r="P246" i="4"/>
  <c r="O246" i="4"/>
  <c r="T245" i="4"/>
  <c r="U245" i="4" s="1"/>
  <c r="R245" i="4"/>
  <c r="P245" i="4"/>
  <c r="O245" i="4"/>
  <c r="U244" i="4"/>
  <c r="T244" i="4"/>
  <c r="R244" i="4"/>
  <c r="S244" i="4" s="1"/>
  <c r="P244" i="4"/>
  <c r="O244" i="4"/>
  <c r="T243" i="4"/>
  <c r="U243" i="4" s="1"/>
  <c r="S243" i="4"/>
  <c r="R243" i="4"/>
  <c r="P243" i="4"/>
  <c r="O243" i="4"/>
  <c r="T242" i="4"/>
  <c r="R242" i="4"/>
  <c r="S242" i="4" s="1"/>
  <c r="P242" i="4"/>
  <c r="O242" i="4"/>
  <c r="T241" i="4"/>
  <c r="U241" i="4" s="1"/>
  <c r="R241" i="4"/>
  <c r="S240" i="4" s="1"/>
  <c r="P241" i="4"/>
  <c r="O241" i="4"/>
  <c r="U240" i="4"/>
  <c r="T240" i="4"/>
  <c r="R240" i="4"/>
  <c r="P240" i="4"/>
  <c r="O240" i="4"/>
  <c r="T239" i="4"/>
  <c r="U239" i="4" s="1"/>
  <c r="S239" i="4"/>
  <c r="R239" i="4"/>
  <c r="P239" i="4"/>
  <c r="O239" i="4"/>
  <c r="T238" i="4"/>
  <c r="U237" i="4" s="1"/>
  <c r="R238" i="4"/>
  <c r="S238" i="4" s="1"/>
  <c r="P238" i="4"/>
  <c r="O238" i="4"/>
  <c r="T237" i="4"/>
  <c r="R237" i="4"/>
  <c r="S236" i="4" s="1"/>
  <c r="P237" i="4"/>
  <c r="O237" i="4"/>
  <c r="U236" i="4"/>
  <c r="T236" i="4"/>
  <c r="R236" i="4"/>
  <c r="P236" i="4"/>
  <c r="O236" i="4"/>
  <c r="T235" i="4"/>
  <c r="U235" i="4" s="1"/>
  <c r="S235" i="4"/>
  <c r="R235" i="4"/>
  <c r="P235" i="4"/>
  <c r="O235" i="4"/>
  <c r="T234" i="4"/>
  <c r="U233" i="4" s="1"/>
  <c r="R234" i="4"/>
  <c r="S234" i="4" s="1"/>
  <c r="P234" i="4"/>
  <c r="O234" i="4"/>
  <c r="T233" i="4"/>
  <c r="R233" i="4"/>
  <c r="S232" i="4" s="1"/>
  <c r="P233" i="4"/>
  <c r="O233" i="4"/>
  <c r="U232" i="4"/>
  <c r="T232" i="4"/>
  <c r="R232" i="4"/>
  <c r="P232" i="4"/>
  <c r="O232" i="4"/>
  <c r="T231" i="4"/>
  <c r="U231" i="4" s="1"/>
  <c r="S231" i="4"/>
  <c r="R231" i="4"/>
  <c r="P231" i="4"/>
  <c r="O231" i="4"/>
  <c r="T230" i="4"/>
  <c r="U229" i="4" s="1"/>
  <c r="R230" i="4"/>
  <c r="S230" i="4" s="1"/>
  <c r="P230" i="4"/>
  <c r="O230" i="4"/>
  <c r="T229" i="4"/>
  <c r="R229" i="4"/>
  <c r="S228" i="4" s="1"/>
  <c r="P229" i="4"/>
  <c r="O229" i="4"/>
  <c r="U228" i="4"/>
  <c r="T228" i="4"/>
  <c r="R228" i="4"/>
  <c r="P228" i="4"/>
  <c r="O228" i="4"/>
  <c r="T227" i="4"/>
  <c r="U227" i="4" s="1"/>
  <c r="S227" i="4"/>
  <c r="R227" i="4"/>
  <c r="P227" i="4"/>
  <c r="O227" i="4"/>
  <c r="T226" i="4"/>
  <c r="R226" i="4"/>
  <c r="S226" i="4" s="1"/>
  <c r="P226" i="4"/>
  <c r="O226" i="4"/>
  <c r="U225" i="4"/>
  <c r="T225" i="4"/>
  <c r="R225" i="4"/>
  <c r="S225" i="4" s="1"/>
  <c r="P225" i="4"/>
  <c r="O225" i="4"/>
  <c r="U224" i="4"/>
  <c r="T224" i="4"/>
  <c r="S224" i="4"/>
  <c r="R224" i="4"/>
  <c r="P224" i="4"/>
  <c r="O224" i="4"/>
  <c r="T223" i="4"/>
  <c r="U223" i="4" s="1"/>
  <c r="S223" i="4"/>
  <c r="R223" i="4"/>
  <c r="P223" i="4"/>
  <c r="O223" i="4"/>
  <c r="T222" i="4"/>
  <c r="R222" i="4"/>
  <c r="S222" i="4" s="1"/>
  <c r="P222" i="4"/>
  <c r="O222" i="4"/>
  <c r="U221" i="4"/>
  <c r="T221" i="4"/>
  <c r="R221" i="4"/>
  <c r="P221" i="4"/>
  <c r="O221" i="4"/>
  <c r="U220" i="4"/>
  <c r="T220" i="4"/>
  <c r="S220" i="4"/>
  <c r="R220" i="4"/>
  <c r="P220" i="4"/>
  <c r="O220" i="4"/>
  <c r="T219" i="4"/>
  <c r="U219" i="4" s="1"/>
  <c r="S219" i="4"/>
  <c r="R219" i="4"/>
  <c r="P219" i="4"/>
  <c r="O219" i="4"/>
  <c r="T218" i="4"/>
  <c r="R218" i="4"/>
  <c r="S218" i="4" s="1"/>
  <c r="P218" i="4"/>
  <c r="O218" i="4"/>
  <c r="U217" i="4"/>
  <c r="T217" i="4"/>
  <c r="R217" i="4"/>
  <c r="S217" i="4" s="1"/>
  <c r="P217" i="4"/>
  <c r="O217" i="4"/>
  <c r="U216" i="4"/>
  <c r="T216" i="4"/>
  <c r="S216" i="4"/>
  <c r="R216" i="4"/>
  <c r="P216" i="4"/>
  <c r="O216" i="4"/>
  <c r="T215" i="4"/>
  <c r="U215" i="4" s="1"/>
  <c r="S215" i="4"/>
  <c r="R215" i="4"/>
  <c r="P215" i="4"/>
  <c r="O215" i="4"/>
  <c r="T214" i="4"/>
  <c r="R214" i="4"/>
  <c r="S214" i="4" s="1"/>
  <c r="P214" i="4"/>
  <c r="O214" i="4"/>
  <c r="U213" i="4"/>
  <c r="T213" i="4"/>
  <c r="R213" i="4"/>
  <c r="P213" i="4"/>
  <c r="O213" i="4"/>
  <c r="U212" i="4"/>
  <c r="T212" i="4"/>
  <c r="S212" i="4"/>
  <c r="R212" i="4"/>
  <c r="P212" i="4"/>
  <c r="O212" i="4"/>
  <c r="T211" i="4"/>
  <c r="U211" i="4" s="1"/>
  <c r="S211" i="4"/>
  <c r="R211" i="4"/>
  <c r="P211" i="4"/>
  <c r="O211" i="4"/>
  <c r="T210" i="4"/>
  <c r="R210" i="4"/>
  <c r="S210" i="4" s="1"/>
  <c r="P210" i="4"/>
  <c r="O210" i="4"/>
  <c r="U209" i="4"/>
  <c r="T209" i="4"/>
  <c r="R209" i="4"/>
  <c r="S209" i="4" s="1"/>
  <c r="P209" i="4"/>
  <c r="O209" i="4"/>
  <c r="U208" i="4"/>
  <c r="T208" i="4"/>
  <c r="S208" i="4"/>
  <c r="R208" i="4"/>
  <c r="P208" i="4"/>
  <c r="O208" i="4"/>
  <c r="T207" i="4"/>
  <c r="U207" i="4" s="1"/>
  <c r="S207" i="4"/>
  <c r="R207" i="4"/>
  <c r="P207" i="4"/>
  <c r="O207" i="4"/>
  <c r="T206" i="4"/>
  <c r="U206" i="4" s="1"/>
  <c r="R206" i="4"/>
  <c r="S206" i="4" s="1"/>
  <c r="P206" i="4"/>
  <c r="O206" i="4"/>
  <c r="U205" i="4"/>
  <c r="T205" i="4"/>
  <c r="R205" i="4"/>
  <c r="P205" i="4"/>
  <c r="O205" i="4"/>
  <c r="U204" i="4"/>
  <c r="T204" i="4"/>
  <c r="S204" i="4"/>
  <c r="R204" i="4"/>
  <c r="P204" i="4"/>
  <c r="O204" i="4"/>
  <c r="T203" i="4"/>
  <c r="U203" i="4" s="1"/>
  <c r="S203" i="4"/>
  <c r="R203" i="4"/>
  <c r="P203" i="4"/>
  <c r="O203" i="4"/>
  <c r="T202" i="4"/>
  <c r="R202" i="4"/>
  <c r="S202" i="4" s="1"/>
  <c r="P202" i="4"/>
  <c r="O202" i="4"/>
  <c r="X201" i="4"/>
  <c r="W201" i="4"/>
  <c r="V201" i="4"/>
  <c r="T201" i="4"/>
  <c r="U201" i="4" s="1"/>
  <c r="R201" i="4"/>
  <c r="Q201" i="4"/>
  <c r="P201" i="4"/>
  <c r="O201" i="4"/>
  <c r="N201" i="4"/>
  <c r="M201" i="4"/>
  <c r="L201" i="4"/>
  <c r="K201" i="4"/>
  <c r="J201" i="4"/>
  <c r="I201" i="4"/>
  <c r="H201" i="4"/>
  <c r="X200" i="4"/>
  <c r="V200" i="4"/>
  <c r="W200" i="4" s="1"/>
  <c r="T200" i="4"/>
  <c r="S200" i="4"/>
  <c r="R200" i="4"/>
  <c r="N200" i="4"/>
  <c r="Q200" i="4" s="1"/>
  <c r="M200" i="4"/>
  <c r="L200" i="4"/>
  <c r="K200" i="4"/>
  <c r="J200" i="4"/>
  <c r="I200" i="4"/>
  <c r="H200" i="4"/>
  <c r="X199" i="4"/>
  <c r="V199" i="4"/>
  <c r="W199" i="4" s="1"/>
  <c r="T199" i="4"/>
  <c r="S199" i="4"/>
  <c r="R199" i="4"/>
  <c r="N199" i="4"/>
  <c r="Q199" i="4" s="1"/>
  <c r="M199" i="4"/>
  <c r="L199" i="4"/>
  <c r="K199" i="4"/>
  <c r="J199" i="4"/>
  <c r="I199" i="4"/>
  <c r="H199" i="4"/>
  <c r="X198" i="4"/>
  <c r="V198" i="4"/>
  <c r="U198" i="4"/>
  <c r="T198" i="4"/>
  <c r="S198" i="4"/>
  <c r="R198" i="4"/>
  <c r="N198" i="4"/>
  <c r="Q195" i="4" s="1"/>
  <c r="M198" i="4"/>
  <c r="L198" i="4"/>
  <c r="H198" i="4"/>
  <c r="J198" i="4" s="1"/>
  <c r="X197" i="4"/>
  <c r="V197" i="4"/>
  <c r="U197" i="4"/>
  <c r="T197" i="4"/>
  <c r="S197" i="4"/>
  <c r="R197" i="4"/>
  <c r="O197" i="4"/>
  <c r="N197" i="4"/>
  <c r="M197" i="4"/>
  <c r="L197" i="4"/>
  <c r="H197" i="4"/>
  <c r="J197" i="4" s="1"/>
  <c r="X196" i="4"/>
  <c r="W196" i="4"/>
  <c r="V196" i="4"/>
  <c r="U196" i="4"/>
  <c r="T196" i="4"/>
  <c r="R196" i="4"/>
  <c r="S196" i="4" s="1"/>
  <c r="N196" i="4"/>
  <c r="M196" i="4"/>
  <c r="L196" i="4"/>
  <c r="H196" i="4"/>
  <c r="X195" i="4"/>
  <c r="W195" i="4"/>
  <c r="V195" i="4"/>
  <c r="U195" i="4"/>
  <c r="T195" i="4"/>
  <c r="R195" i="4"/>
  <c r="S195" i="4" s="1"/>
  <c r="N195" i="4"/>
  <c r="M195" i="4"/>
  <c r="L195" i="4"/>
  <c r="I195" i="4"/>
  <c r="H195" i="4"/>
  <c r="J195" i="4" s="1"/>
  <c r="X194" i="4"/>
  <c r="V194" i="4"/>
  <c r="W194" i="4" s="1"/>
  <c r="T194" i="4"/>
  <c r="U194" i="4" s="1"/>
  <c r="R194" i="4"/>
  <c r="S194" i="4" s="1"/>
  <c r="N194" i="4"/>
  <c r="O194" i="4" s="1"/>
  <c r="M194" i="4"/>
  <c r="L194" i="4"/>
  <c r="J194" i="4"/>
  <c r="I194" i="4"/>
  <c r="H194" i="4"/>
  <c r="X193" i="4"/>
  <c r="W193" i="4"/>
  <c r="V193" i="4"/>
  <c r="T193" i="4"/>
  <c r="U193" i="4" s="1"/>
  <c r="S193" i="4"/>
  <c r="R193" i="4"/>
  <c r="O193" i="4"/>
  <c r="N193" i="4"/>
  <c r="M193" i="4"/>
  <c r="L193" i="4"/>
  <c r="K193" i="4"/>
  <c r="J193" i="4"/>
  <c r="I193" i="4"/>
  <c r="H193" i="4"/>
  <c r="X192" i="4"/>
  <c r="V192" i="4"/>
  <c r="W192" i="4" s="1"/>
  <c r="T192" i="4"/>
  <c r="U192" i="4" s="1"/>
  <c r="S192" i="4"/>
  <c r="R192" i="4"/>
  <c r="N192" i="4"/>
  <c r="M192" i="4"/>
  <c r="L192" i="4"/>
  <c r="J192" i="4"/>
  <c r="H192" i="4"/>
  <c r="I192" i="4" s="1"/>
  <c r="K192" i="4" s="1"/>
  <c r="X191" i="4"/>
  <c r="V191" i="4"/>
  <c r="W191" i="4" s="1"/>
  <c r="U191" i="4"/>
  <c r="T191" i="4"/>
  <c r="S191" i="4"/>
  <c r="R191" i="4"/>
  <c r="N191" i="4"/>
  <c r="M191" i="4"/>
  <c r="L191" i="4"/>
  <c r="K191" i="4"/>
  <c r="J191" i="4"/>
  <c r="I191" i="4"/>
  <c r="H191" i="4"/>
  <c r="X190" i="4"/>
  <c r="V190" i="4"/>
  <c r="W190" i="4" s="1"/>
  <c r="U190" i="4"/>
  <c r="T190" i="4"/>
  <c r="R190" i="4"/>
  <c r="S190" i="4" s="1"/>
  <c r="N190" i="4"/>
  <c r="M190" i="4"/>
  <c r="L190" i="4"/>
  <c r="J190" i="4"/>
  <c r="H190" i="4"/>
  <c r="I190" i="4" s="1"/>
  <c r="K190" i="4" s="1"/>
  <c r="X189" i="4"/>
  <c r="W189" i="4"/>
  <c r="V189" i="4"/>
  <c r="U189" i="4"/>
  <c r="T189" i="4"/>
  <c r="S189" i="4"/>
  <c r="R189" i="4"/>
  <c r="N189" i="4"/>
  <c r="M189" i="4"/>
  <c r="L189" i="4"/>
  <c r="H189" i="4"/>
  <c r="J189" i="4" s="1"/>
  <c r="X188" i="4"/>
  <c r="W188" i="4"/>
  <c r="V188" i="4"/>
  <c r="T188" i="4"/>
  <c r="U188" i="4" s="1"/>
  <c r="R188" i="4"/>
  <c r="S188" i="4" s="1"/>
  <c r="N188" i="4"/>
  <c r="M188" i="4"/>
  <c r="L188" i="4"/>
  <c r="H188" i="4"/>
  <c r="X187" i="4"/>
  <c r="W187" i="4"/>
  <c r="V187" i="4"/>
  <c r="U187" i="4"/>
  <c r="T187" i="4"/>
  <c r="R187" i="4"/>
  <c r="S187" i="4" s="1"/>
  <c r="N187" i="4"/>
  <c r="M187" i="4"/>
  <c r="L187" i="4"/>
  <c r="I187" i="4"/>
  <c r="K187" i="4" s="1"/>
  <c r="H187" i="4"/>
  <c r="J187" i="4" s="1"/>
  <c r="X186" i="4"/>
  <c r="V186" i="4"/>
  <c r="W186" i="4" s="1"/>
  <c r="T186" i="4"/>
  <c r="U186" i="4" s="1"/>
  <c r="R186" i="4"/>
  <c r="S186" i="4" s="1"/>
  <c r="N186" i="4"/>
  <c r="M186" i="4"/>
  <c r="L186" i="4"/>
  <c r="J186" i="4"/>
  <c r="I186" i="4"/>
  <c r="H186" i="4"/>
  <c r="X185" i="4"/>
  <c r="W185" i="4"/>
  <c r="V185" i="4"/>
  <c r="T185" i="4"/>
  <c r="U185" i="4" s="1"/>
  <c r="S185" i="4"/>
  <c r="R185" i="4"/>
  <c r="O185" i="4"/>
  <c r="N185" i="4"/>
  <c r="P185" i="4" s="1"/>
  <c r="M185" i="4"/>
  <c r="L185" i="4"/>
  <c r="K185" i="4"/>
  <c r="J185" i="4"/>
  <c r="I185" i="4"/>
  <c r="H185" i="4"/>
  <c r="X184" i="4"/>
  <c r="V184" i="4"/>
  <c r="W184" i="4" s="1"/>
  <c r="T184" i="4"/>
  <c r="U184" i="4" s="1"/>
  <c r="S184" i="4"/>
  <c r="R184" i="4"/>
  <c r="N184" i="4"/>
  <c r="M184" i="4"/>
  <c r="L184" i="4"/>
  <c r="J184" i="4"/>
  <c r="H184" i="4"/>
  <c r="I184" i="4" s="1"/>
  <c r="K184" i="4" s="1"/>
  <c r="X183" i="4"/>
  <c r="V183" i="4"/>
  <c r="W183" i="4" s="1"/>
  <c r="U183" i="4"/>
  <c r="T183" i="4"/>
  <c r="S183" i="4"/>
  <c r="R183" i="4"/>
  <c r="N183" i="4"/>
  <c r="M183" i="4"/>
  <c r="L183" i="4"/>
  <c r="I183" i="4"/>
  <c r="H183" i="4"/>
  <c r="J183" i="4" s="1"/>
  <c r="K183" i="4" s="1"/>
  <c r="X182" i="4"/>
  <c r="V182" i="4"/>
  <c r="W182" i="4" s="1"/>
  <c r="U182" i="4"/>
  <c r="T182" i="4"/>
  <c r="R182" i="4"/>
  <c r="S182" i="4" s="1"/>
  <c r="N182" i="4"/>
  <c r="M182" i="4"/>
  <c r="L182" i="4"/>
  <c r="J182" i="4"/>
  <c r="I182" i="4"/>
  <c r="K182" i="4" s="1"/>
  <c r="H182" i="4"/>
  <c r="X181" i="4"/>
  <c r="W181" i="4"/>
  <c r="V181" i="4"/>
  <c r="U181" i="4"/>
  <c r="T181" i="4"/>
  <c r="S181" i="4"/>
  <c r="R181" i="4"/>
  <c r="O181" i="4"/>
  <c r="N181" i="4"/>
  <c r="M181" i="4"/>
  <c r="L181" i="4"/>
  <c r="H181" i="4"/>
  <c r="J181" i="4" s="1"/>
  <c r="X180" i="4"/>
  <c r="W180" i="4"/>
  <c r="V180" i="4"/>
  <c r="T180" i="4"/>
  <c r="U180" i="4" s="1"/>
  <c r="S180" i="4"/>
  <c r="R180" i="4"/>
  <c r="P180" i="4"/>
  <c r="N180" i="4"/>
  <c r="M180" i="4"/>
  <c r="L180" i="4"/>
  <c r="H180" i="4"/>
  <c r="X179" i="4"/>
  <c r="W179" i="4"/>
  <c r="V179" i="4"/>
  <c r="U179" i="4"/>
  <c r="T179" i="4"/>
  <c r="R179" i="4"/>
  <c r="S179" i="4" s="1"/>
  <c r="N179" i="4"/>
  <c r="M179" i="4"/>
  <c r="L179" i="4"/>
  <c r="I179" i="4"/>
  <c r="K179" i="4" s="1"/>
  <c r="H179" i="4"/>
  <c r="J179" i="4" s="1"/>
  <c r="X178" i="4"/>
  <c r="V178" i="4"/>
  <c r="W178" i="4" s="1"/>
  <c r="U178" i="4"/>
  <c r="T178" i="4"/>
  <c r="R178" i="4"/>
  <c r="S178" i="4" s="1"/>
  <c r="N178" i="4"/>
  <c r="M178" i="4"/>
  <c r="L178" i="4"/>
  <c r="J178" i="4"/>
  <c r="I178" i="4"/>
  <c r="K178" i="4" s="1"/>
  <c r="H178" i="4"/>
  <c r="X177" i="4"/>
  <c r="W177" i="4"/>
  <c r="V177" i="4"/>
  <c r="T177" i="4"/>
  <c r="U177" i="4" s="1"/>
  <c r="R177" i="4"/>
  <c r="O177" i="4"/>
  <c r="N177" i="4"/>
  <c r="M177" i="4"/>
  <c r="L177" i="4"/>
  <c r="K177" i="4"/>
  <c r="J177" i="4"/>
  <c r="I177" i="4"/>
  <c r="H177" i="4"/>
  <c r="X176" i="4"/>
  <c r="W176" i="4"/>
  <c r="V176" i="4"/>
  <c r="T176" i="4"/>
  <c r="U176" i="4" s="1"/>
  <c r="S176" i="4"/>
  <c r="R176" i="4"/>
  <c r="N176" i="4"/>
  <c r="M176" i="4"/>
  <c r="L176" i="4"/>
  <c r="J176" i="4"/>
  <c r="H176" i="4"/>
  <c r="I176" i="4" s="1"/>
  <c r="K176" i="4" s="1"/>
  <c r="X175" i="4"/>
  <c r="V175" i="4"/>
  <c r="W175" i="4" s="1"/>
  <c r="U175" i="4"/>
  <c r="T175" i="4"/>
  <c r="S175" i="4"/>
  <c r="R175" i="4"/>
  <c r="N175" i="4"/>
  <c r="M175" i="4"/>
  <c r="L175" i="4"/>
  <c r="I175" i="4"/>
  <c r="H175" i="4"/>
  <c r="J175" i="4" s="1"/>
  <c r="K175" i="4" s="1"/>
  <c r="X174" i="4"/>
  <c r="V174" i="4"/>
  <c r="W174" i="4" s="1"/>
  <c r="U174" i="4"/>
  <c r="T174" i="4"/>
  <c r="R174" i="4"/>
  <c r="S174" i="4" s="1"/>
  <c r="N174" i="4"/>
  <c r="M174" i="4"/>
  <c r="L174" i="4"/>
  <c r="J174" i="4"/>
  <c r="I174" i="4"/>
  <c r="K174" i="4" s="1"/>
  <c r="H174" i="4"/>
  <c r="X173" i="4"/>
  <c r="W173" i="4"/>
  <c r="V173" i="4"/>
  <c r="U173" i="4"/>
  <c r="T173" i="4"/>
  <c r="S173" i="4"/>
  <c r="R173" i="4"/>
  <c r="N173" i="4"/>
  <c r="M173" i="4"/>
  <c r="L173" i="4"/>
  <c r="H173" i="4"/>
  <c r="J173" i="4" s="1"/>
  <c r="X172" i="4"/>
  <c r="W172" i="4"/>
  <c r="V172" i="4"/>
  <c r="T172" i="4"/>
  <c r="U172" i="4" s="1"/>
  <c r="S172" i="4"/>
  <c r="R172" i="4"/>
  <c r="P172" i="4"/>
  <c r="N172" i="4"/>
  <c r="M172" i="4"/>
  <c r="L172" i="4"/>
  <c r="H172" i="4"/>
  <c r="X171" i="4"/>
  <c r="W171" i="4"/>
  <c r="V171" i="4"/>
  <c r="U171" i="4"/>
  <c r="T171" i="4"/>
  <c r="R171" i="4"/>
  <c r="S171" i="4" s="1"/>
  <c r="N171" i="4"/>
  <c r="M171" i="4"/>
  <c r="L171" i="4"/>
  <c r="I171" i="4"/>
  <c r="K171" i="4" s="1"/>
  <c r="H171" i="4"/>
  <c r="J171" i="4" s="1"/>
  <c r="X170" i="4"/>
  <c r="V170" i="4"/>
  <c r="W170" i="4" s="1"/>
  <c r="U170" i="4"/>
  <c r="T170" i="4"/>
  <c r="R170" i="4"/>
  <c r="S170" i="4" s="1"/>
  <c r="N170" i="4"/>
  <c r="M170" i="4"/>
  <c r="L170" i="4"/>
  <c r="J170" i="4"/>
  <c r="I170" i="4"/>
  <c r="K170" i="4" s="1"/>
  <c r="H170" i="4"/>
  <c r="X169" i="4"/>
  <c r="W169" i="4"/>
  <c r="V169" i="4"/>
  <c r="T169" i="4"/>
  <c r="U169" i="4" s="1"/>
  <c r="S169" i="4"/>
  <c r="R169" i="4"/>
  <c r="O169" i="4"/>
  <c r="N169" i="4"/>
  <c r="M169" i="4"/>
  <c r="L169" i="4"/>
  <c r="K169" i="4"/>
  <c r="J169" i="4"/>
  <c r="I169" i="4"/>
  <c r="H169" i="4"/>
  <c r="X168" i="4"/>
  <c r="W168" i="4"/>
  <c r="V168" i="4"/>
  <c r="T168" i="4"/>
  <c r="U168" i="4" s="1"/>
  <c r="R168" i="4"/>
  <c r="S168" i="4" s="1"/>
  <c r="N168" i="4"/>
  <c r="M168" i="4"/>
  <c r="L168" i="4"/>
  <c r="J168" i="4"/>
  <c r="H168" i="4"/>
  <c r="I168" i="4" s="1"/>
  <c r="K168" i="4" s="1"/>
  <c r="X167" i="4"/>
  <c r="V167" i="4"/>
  <c r="W167" i="4" s="1"/>
  <c r="T167" i="4"/>
  <c r="S167" i="4"/>
  <c r="R167" i="4"/>
  <c r="N167" i="4"/>
  <c r="P167" i="4" s="1"/>
  <c r="M167" i="4"/>
  <c r="L167" i="4"/>
  <c r="I167" i="4"/>
  <c r="H167" i="4"/>
  <c r="J167" i="4" s="1"/>
  <c r="K167" i="4" s="1"/>
  <c r="X166" i="4"/>
  <c r="V166" i="4"/>
  <c r="W166" i="4" s="1"/>
  <c r="T166" i="4"/>
  <c r="U166" i="4" s="1"/>
  <c r="R166" i="4"/>
  <c r="S166" i="4" s="1"/>
  <c r="N166" i="4"/>
  <c r="Q163" i="4" s="1"/>
  <c r="M166" i="4"/>
  <c r="L166" i="4"/>
  <c r="J166" i="4"/>
  <c r="I166" i="4"/>
  <c r="K166" i="4" s="1"/>
  <c r="H166" i="4"/>
  <c r="X165" i="4"/>
  <c r="W165" i="4"/>
  <c r="V165" i="4"/>
  <c r="U165" i="4"/>
  <c r="T165" i="4"/>
  <c r="S165" i="4"/>
  <c r="R165" i="4"/>
  <c r="O165" i="4"/>
  <c r="N165" i="4"/>
  <c r="M165" i="4"/>
  <c r="L165" i="4"/>
  <c r="H165" i="4"/>
  <c r="J165" i="4" s="1"/>
  <c r="X164" i="4"/>
  <c r="V164" i="4"/>
  <c r="W164" i="4" s="1"/>
  <c r="T164" i="4"/>
  <c r="U164" i="4" s="1"/>
  <c r="S164" i="4"/>
  <c r="R164" i="4"/>
  <c r="P164" i="4"/>
  <c r="N164" i="4"/>
  <c r="M164" i="4"/>
  <c r="L164" i="4"/>
  <c r="H164" i="4"/>
  <c r="X163" i="4"/>
  <c r="W163" i="4"/>
  <c r="V163" i="4"/>
  <c r="U163" i="4"/>
  <c r="T163" i="4"/>
  <c r="R163" i="4"/>
  <c r="S163" i="4" s="1"/>
  <c r="N163" i="4"/>
  <c r="M163" i="4"/>
  <c r="L163" i="4"/>
  <c r="I163" i="4"/>
  <c r="H163" i="4"/>
  <c r="J163" i="4" s="1"/>
  <c r="X162" i="4"/>
  <c r="V162" i="4"/>
  <c r="W162" i="4" s="1"/>
  <c r="U162" i="4"/>
  <c r="T162" i="4"/>
  <c r="R162" i="4"/>
  <c r="S162" i="4" s="1"/>
  <c r="N162" i="4"/>
  <c r="O162" i="4" s="1"/>
  <c r="M162" i="4"/>
  <c r="L162" i="4"/>
  <c r="J162" i="4"/>
  <c r="H162" i="4"/>
  <c r="I162" i="4" s="1"/>
  <c r="X161" i="4"/>
  <c r="W161" i="4"/>
  <c r="V161" i="4"/>
  <c r="T161" i="4"/>
  <c r="U161" i="4" s="1"/>
  <c r="R161" i="4"/>
  <c r="O161" i="4"/>
  <c r="N161" i="4"/>
  <c r="M161" i="4"/>
  <c r="L161" i="4"/>
  <c r="K161" i="4"/>
  <c r="J161" i="4"/>
  <c r="I161" i="4"/>
  <c r="H161" i="4"/>
  <c r="X160" i="4"/>
  <c r="W160" i="4"/>
  <c r="V160" i="4"/>
  <c r="T160" i="4"/>
  <c r="U160" i="4" s="1"/>
  <c r="R160" i="4"/>
  <c r="S160" i="4" s="1"/>
  <c r="O160" i="4"/>
  <c r="N160" i="4"/>
  <c r="M160" i="4"/>
  <c r="L160" i="4"/>
  <c r="J160" i="4"/>
  <c r="H160" i="4"/>
  <c r="I160" i="4" s="1"/>
  <c r="K160" i="4" s="1"/>
  <c r="X159" i="4"/>
  <c r="V159" i="4"/>
  <c r="W159" i="4" s="1"/>
  <c r="U159" i="4"/>
  <c r="T159" i="4"/>
  <c r="S159" i="4"/>
  <c r="R159" i="4"/>
  <c r="N159" i="4"/>
  <c r="M159" i="4"/>
  <c r="L159" i="4"/>
  <c r="I159" i="4"/>
  <c r="H159" i="4"/>
  <c r="J159" i="4" s="1"/>
  <c r="K159" i="4" s="1"/>
  <c r="X158" i="4"/>
  <c r="V158" i="4"/>
  <c r="T158" i="4"/>
  <c r="U158" i="4" s="1"/>
  <c r="R158" i="4"/>
  <c r="S158" i="4" s="1"/>
  <c r="N158" i="4"/>
  <c r="M158" i="4"/>
  <c r="L158" i="4"/>
  <c r="J158" i="4"/>
  <c r="I158" i="4"/>
  <c r="K158" i="4" s="1"/>
  <c r="H158" i="4"/>
  <c r="X157" i="4"/>
  <c r="V157" i="4"/>
  <c r="U157" i="4"/>
  <c r="T157" i="4"/>
  <c r="S157" i="4"/>
  <c r="R157" i="4"/>
  <c r="O157" i="4"/>
  <c r="N157" i="4"/>
  <c r="M157" i="4"/>
  <c r="L157" i="4"/>
  <c r="H157" i="4"/>
  <c r="J157" i="4" s="1"/>
  <c r="X156" i="4"/>
  <c r="V156" i="4"/>
  <c r="W156" i="4" s="1"/>
  <c r="T156" i="4"/>
  <c r="U156" i="4" s="1"/>
  <c r="S156" i="4"/>
  <c r="R156" i="4"/>
  <c r="O156" i="4"/>
  <c r="N156" i="4"/>
  <c r="P155" i="4" s="1"/>
  <c r="M156" i="4"/>
  <c r="L156" i="4"/>
  <c r="H156" i="4"/>
  <c r="X155" i="4"/>
  <c r="V155" i="4"/>
  <c r="U155" i="4"/>
  <c r="T155" i="4"/>
  <c r="R155" i="4"/>
  <c r="O155" i="4"/>
  <c r="N155" i="4"/>
  <c r="M155" i="4"/>
  <c r="L155" i="4"/>
  <c r="I155" i="4"/>
  <c r="K155" i="4" s="1"/>
  <c r="H155" i="4"/>
  <c r="J155" i="4" s="1"/>
  <c r="X154" i="4"/>
  <c r="V154" i="4"/>
  <c r="W154" i="4" s="1"/>
  <c r="U154" i="4"/>
  <c r="T154" i="4"/>
  <c r="R154" i="4"/>
  <c r="Q154" i="4"/>
  <c r="P154" i="4"/>
  <c r="N154" i="4"/>
  <c r="M154" i="4"/>
  <c r="L154" i="4"/>
  <c r="H154" i="4"/>
  <c r="X153" i="4"/>
  <c r="V153" i="4"/>
  <c r="T153" i="4"/>
  <c r="U153" i="4" s="1"/>
  <c r="R153" i="4"/>
  <c r="S153" i="4" s="1"/>
  <c r="O153" i="4"/>
  <c r="N153" i="4"/>
  <c r="P153" i="4" s="1"/>
  <c r="M153" i="4"/>
  <c r="L153" i="4"/>
  <c r="I153" i="4"/>
  <c r="H153" i="4"/>
  <c r="J153" i="4" s="1"/>
  <c r="X152" i="4"/>
  <c r="V152" i="4"/>
  <c r="U152" i="4"/>
  <c r="T152" i="4"/>
  <c r="R152" i="4"/>
  <c r="S152" i="4" s="1"/>
  <c r="P152" i="4"/>
  <c r="O152" i="4"/>
  <c r="N152" i="4"/>
  <c r="M152" i="4"/>
  <c r="L152" i="4"/>
  <c r="H152" i="4"/>
  <c r="X151" i="4"/>
  <c r="V151" i="4"/>
  <c r="W151" i="4" s="1"/>
  <c r="U151" i="4"/>
  <c r="T151" i="4"/>
  <c r="S151" i="4"/>
  <c r="R151" i="4"/>
  <c r="Q151" i="4"/>
  <c r="N151" i="4"/>
  <c r="O151" i="4" s="1"/>
  <c r="M151" i="4"/>
  <c r="L151" i="4"/>
  <c r="H151" i="4"/>
  <c r="J151" i="4" s="1"/>
  <c r="X150" i="4"/>
  <c r="V150" i="4"/>
  <c r="T150" i="4"/>
  <c r="U150" i="4" s="1"/>
  <c r="R150" i="4"/>
  <c r="S150" i="4" s="1"/>
  <c r="Q150" i="4"/>
  <c r="O150" i="4"/>
  <c r="N150" i="4"/>
  <c r="P150" i="4" s="1"/>
  <c r="M150" i="4"/>
  <c r="L150" i="4"/>
  <c r="J150" i="4"/>
  <c r="I150" i="4"/>
  <c r="K150" i="4" s="1"/>
  <c r="H150" i="4"/>
  <c r="X149" i="4"/>
  <c r="W149" i="4"/>
  <c r="V149" i="4"/>
  <c r="U149" i="4"/>
  <c r="T149" i="4"/>
  <c r="R149" i="4"/>
  <c r="S149" i="4" s="1"/>
  <c r="P149" i="4"/>
  <c r="O149" i="4"/>
  <c r="N149" i="4"/>
  <c r="Q149" i="4" s="1"/>
  <c r="M149" i="4"/>
  <c r="L149" i="4"/>
  <c r="H149" i="4"/>
  <c r="I149" i="4" s="1"/>
  <c r="X148" i="4"/>
  <c r="V148" i="4"/>
  <c r="W148" i="4" s="1"/>
  <c r="T148" i="4"/>
  <c r="U148" i="4" s="1"/>
  <c r="S148" i="4"/>
  <c r="R148" i="4"/>
  <c r="N148" i="4"/>
  <c r="O148" i="4" s="1"/>
  <c r="M148" i="4"/>
  <c r="L148" i="4"/>
  <c r="H148" i="4"/>
  <c r="X147" i="4"/>
  <c r="V147" i="4"/>
  <c r="T147" i="4"/>
  <c r="U146" i="4" s="1"/>
  <c r="R147" i="4"/>
  <c r="S147" i="4" s="1"/>
  <c r="Q147" i="4"/>
  <c r="O147" i="4"/>
  <c r="N147" i="4"/>
  <c r="M147" i="4"/>
  <c r="L147" i="4"/>
  <c r="J147" i="4"/>
  <c r="I147" i="4"/>
  <c r="K147" i="4" s="1"/>
  <c r="H147" i="4"/>
  <c r="X146" i="4"/>
  <c r="V146" i="4"/>
  <c r="T146" i="4"/>
  <c r="R146" i="4"/>
  <c r="S146" i="4" s="1"/>
  <c r="P146" i="4"/>
  <c r="N146" i="4"/>
  <c r="M146" i="4"/>
  <c r="L146" i="4"/>
  <c r="H146" i="4"/>
  <c r="I146" i="4" s="1"/>
  <c r="X145" i="4"/>
  <c r="V145" i="4"/>
  <c r="W144" i="4" s="1"/>
  <c r="T145" i="4"/>
  <c r="U145" i="4" s="1"/>
  <c r="S145" i="4"/>
  <c r="R145" i="4"/>
  <c r="N145" i="4"/>
  <c r="M145" i="4"/>
  <c r="L145" i="4"/>
  <c r="I145" i="4"/>
  <c r="K145" i="4" s="1"/>
  <c r="H145" i="4"/>
  <c r="J145" i="4" s="1"/>
  <c r="X144" i="4"/>
  <c r="V144" i="4"/>
  <c r="U144" i="4"/>
  <c r="T144" i="4"/>
  <c r="U143" i="4" s="1"/>
  <c r="R144" i="4"/>
  <c r="S144" i="4" s="1"/>
  <c r="P144" i="4"/>
  <c r="N144" i="4"/>
  <c r="M144" i="4"/>
  <c r="L144" i="4"/>
  <c r="J144" i="4"/>
  <c r="H144" i="4"/>
  <c r="I144" i="4" s="1"/>
  <c r="X143" i="4"/>
  <c r="V143" i="4"/>
  <c r="W143" i="4" s="1"/>
  <c r="T143" i="4"/>
  <c r="R143" i="4"/>
  <c r="N143" i="4"/>
  <c r="O143" i="4" s="1"/>
  <c r="M143" i="4"/>
  <c r="L143" i="4"/>
  <c r="I143" i="4"/>
  <c r="K143" i="4" s="1"/>
  <c r="H143" i="4"/>
  <c r="J143" i="4" s="1"/>
  <c r="X142" i="4"/>
  <c r="V142" i="4"/>
  <c r="W141" i="4" s="1"/>
  <c r="T142" i="4"/>
  <c r="R142" i="4"/>
  <c r="S142" i="4" s="1"/>
  <c r="N142" i="4"/>
  <c r="M142" i="4"/>
  <c r="L142" i="4"/>
  <c r="J142" i="4"/>
  <c r="I142" i="4"/>
  <c r="K142" i="4" s="1"/>
  <c r="H142" i="4"/>
  <c r="X141" i="4"/>
  <c r="V141" i="4"/>
  <c r="T141" i="4"/>
  <c r="R141" i="4"/>
  <c r="N141" i="4"/>
  <c r="M141" i="4"/>
  <c r="L141" i="4"/>
  <c r="H141" i="4"/>
  <c r="X140" i="4"/>
  <c r="V140" i="4"/>
  <c r="W140" i="4" s="1"/>
  <c r="T140" i="4"/>
  <c r="U140" i="4" s="1"/>
  <c r="R140" i="4"/>
  <c r="N140" i="4"/>
  <c r="M140" i="4"/>
  <c r="L140" i="4"/>
  <c r="H140" i="4"/>
  <c r="J140" i="4" s="1"/>
  <c r="X139" i="4"/>
  <c r="W139" i="4"/>
  <c r="V139" i="4"/>
  <c r="T139" i="4"/>
  <c r="U139" i="4" s="1"/>
  <c r="R139" i="4"/>
  <c r="S139" i="4" s="1"/>
  <c r="N139" i="4"/>
  <c r="M139" i="4"/>
  <c r="L139" i="4"/>
  <c r="J139" i="4"/>
  <c r="I139" i="4"/>
  <c r="K139" i="4" s="1"/>
  <c r="H139" i="4"/>
  <c r="X138" i="4"/>
  <c r="V138" i="4"/>
  <c r="W138" i="4" s="1"/>
  <c r="U138" i="4"/>
  <c r="T138" i="4"/>
  <c r="S138" i="4"/>
  <c r="R138" i="4"/>
  <c r="N138" i="4"/>
  <c r="M138" i="4"/>
  <c r="L138" i="4"/>
  <c r="H138" i="4"/>
  <c r="X137" i="4"/>
  <c r="V137" i="4"/>
  <c r="W137" i="4" s="1"/>
  <c r="T137" i="4"/>
  <c r="U137" i="4" s="1"/>
  <c r="S137" i="4"/>
  <c r="R137" i="4"/>
  <c r="O137" i="4"/>
  <c r="N137" i="4"/>
  <c r="M137" i="4"/>
  <c r="L137" i="4"/>
  <c r="I137" i="4"/>
  <c r="K137" i="4" s="1"/>
  <c r="H137" i="4"/>
  <c r="J137" i="4" s="1"/>
  <c r="X136" i="4"/>
  <c r="W136" i="4"/>
  <c r="V136" i="4"/>
  <c r="T136" i="4"/>
  <c r="U136" i="4" s="1"/>
  <c r="R136" i="4"/>
  <c r="S136" i="4" s="1"/>
  <c r="N136" i="4"/>
  <c r="M136" i="4"/>
  <c r="L136" i="4"/>
  <c r="H136" i="4"/>
  <c r="I136" i="4" s="1"/>
  <c r="X135" i="4"/>
  <c r="V135" i="4"/>
  <c r="W135" i="4" s="1"/>
  <c r="U135" i="4"/>
  <c r="T135" i="4"/>
  <c r="S135" i="4"/>
  <c r="R135" i="4"/>
  <c r="N135" i="4"/>
  <c r="O135" i="4" s="1"/>
  <c r="M135" i="4"/>
  <c r="L135" i="4"/>
  <c r="I135" i="4"/>
  <c r="K135" i="4" s="1"/>
  <c r="H135" i="4"/>
  <c r="J135" i="4" s="1"/>
  <c r="X134" i="4"/>
  <c r="V134" i="4"/>
  <c r="W134" i="4" s="1"/>
  <c r="T134" i="4"/>
  <c r="U134" i="4" s="1"/>
  <c r="R134" i="4"/>
  <c r="S134" i="4" s="1"/>
  <c r="O134" i="4"/>
  <c r="N134" i="4"/>
  <c r="M134" i="4"/>
  <c r="L134" i="4"/>
  <c r="J134" i="4"/>
  <c r="I134" i="4"/>
  <c r="K134" i="4" s="1"/>
  <c r="H134" i="4"/>
  <c r="X133" i="4"/>
  <c r="W133" i="4"/>
  <c r="V133" i="4"/>
  <c r="T133" i="4"/>
  <c r="R133" i="4"/>
  <c r="S132" i="4" s="1"/>
  <c r="O133" i="4"/>
  <c r="N133" i="4"/>
  <c r="Q133" i="4" s="1"/>
  <c r="M133" i="4"/>
  <c r="L133" i="4"/>
  <c r="H133" i="4"/>
  <c r="I133" i="4" s="1"/>
  <c r="X132" i="4"/>
  <c r="V132" i="4"/>
  <c r="W132" i="4" s="1"/>
  <c r="T132" i="4"/>
  <c r="U132" i="4" s="1"/>
  <c r="R132" i="4"/>
  <c r="N132" i="4"/>
  <c r="O132" i="4" s="1"/>
  <c r="M132" i="4"/>
  <c r="L132" i="4"/>
  <c r="H132" i="4"/>
  <c r="J132" i="4" s="1"/>
  <c r="X131" i="4"/>
  <c r="V131" i="4"/>
  <c r="T131" i="4"/>
  <c r="U130" i="4" s="1"/>
  <c r="R131" i="4"/>
  <c r="N131" i="4"/>
  <c r="M131" i="4"/>
  <c r="L131" i="4"/>
  <c r="J131" i="4"/>
  <c r="I131" i="4"/>
  <c r="K131" i="4" s="1"/>
  <c r="H131" i="4"/>
  <c r="X130" i="4"/>
  <c r="V130" i="4"/>
  <c r="W130" i="4" s="1"/>
  <c r="T130" i="4"/>
  <c r="R130" i="4"/>
  <c r="S129" i="4" s="1"/>
  <c r="N130" i="4"/>
  <c r="M130" i="4"/>
  <c r="L130" i="4"/>
  <c r="H130" i="4"/>
  <c r="I130" i="4" s="1"/>
  <c r="X129" i="4"/>
  <c r="V129" i="4"/>
  <c r="T129" i="4"/>
  <c r="U129" i="4" s="1"/>
  <c r="R129" i="4"/>
  <c r="N129" i="4"/>
  <c r="M129" i="4"/>
  <c r="L129" i="4"/>
  <c r="I129" i="4"/>
  <c r="K129" i="4" s="1"/>
  <c r="H129" i="4"/>
  <c r="J129" i="4" s="1"/>
  <c r="X128" i="4"/>
  <c r="V128" i="4"/>
  <c r="T128" i="4"/>
  <c r="R128" i="4"/>
  <c r="S128" i="4" s="1"/>
  <c r="N128" i="4"/>
  <c r="M128" i="4"/>
  <c r="L128" i="4"/>
  <c r="H128" i="4"/>
  <c r="X127" i="4"/>
  <c r="V127" i="4"/>
  <c r="W127" i="4" s="1"/>
  <c r="T127" i="4"/>
  <c r="S127" i="4"/>
  <c r="R127" i="4"/>
  <c r="P127" i="4"/>
  <c r="N127" i="4"/>
  <c r="M127" i="4"/>
  <c r="L127" i="4"/>
  <c r="I127" i="4"/>
  <c r="K127" i="4" s="1"/>
  <c r="H127" i="4"/>
  <c r="J127" i="4" s="1"/>
  <c r="X126" i="4"/>
  <c r="W126" i="4"/>
  <c r="V126" i="4"/>
  <c r="T126" i="4"/>
  <c r="U126" i="4" s="1"/>
  <c r="R126" i="4"/>
  <c r="S126" i="4" s="1"/>
  <c r="N126" i="4"/>
  <c r="M126" i="4"/>
  <c r="L126" i="4"/>
  <c r="J126" i="4"/>
  <c r="I126" i="4"/>
  <c r="K126" i="4" s="1"/>
  <c r="H126" i="4"/>
  <c r="X125" i="4"/>
  <c r="W125" i="4"/>
  <c r="V125" i="4"/>
  <c r="U125" i="4"/>
  <c r="T125" i="4"/>
  <c r="R125" i="4"/>
  <c r="S125" i="4" s="1"/>
  <c r="N125" i="4"/>
  <c r="M125" i="4"/>
  <c r="L125" i="4"/>
  <c r="H125" i="4"/>
  <c r="I125" i="4" s="1"/>
  <c r="X124" i="4"/>
  <c r="V124" i="4"/>
  <c r="W124" i="4" s="1"/>
  <c r="T124" i="4"/>
  <c r="U124" i="4" s="1"/>
  <c r="S124" i="4"/>
  <c r="R124" i="4"/>
  <c r="Q124" i="4"/>
  <c r="N124" i="4"/>
  <c r="M124" i="4"/>
  <c r="L124" i="4"/>
  <c r="H124" i="4"/>
  <c r="J124" i="4" s="1"/>
  <c r="X123" i="4"/>
  <c r="V123" i="4"/>
  <c r="T123" i="4"/>
  <c r="U123" i="4" s="1"/>
  <c r="R123" i="4"/>
  <c r="S123" i="4" s="1"/>
  <c r="O123" i="4"/>
  <c r="N123" i="4"/>
  <c r="P123" i="4" s="1"/>
  <c r="M123" i="4"/>
  <c r="L123" i="4"/>
  <c r="J123" i="4"/>
  <c r="I123" i="4"/>
  <c r="K123" i="4" s="1"/>
  <c r="H123" i="4"/>
  <c r="X122" i="4"/>
  <c r="V122" i="4"/>
  <c r="W122" i="4" s="1"/>
  <c r="U122" i="4"/>
  <c r="T122" i="4"/>
  <c r="R122" i="4"/>
  <c r="S122" i="4" s="1"/>
  <c r="N122" i="4"/>
  <c r="M122" i="4"/>
  <c r="L122" i="4"/>
  <c r="H122" i="4"/>
  <c r="I122" i="4" s="1"/>
  <c r="X121" i="4"/>
  <c r="V121" i="4"/>
  <c r="W120" i="4" s="1"/>
  <c r="T121" i="4"/>
  <c r="U121" i="4" s="1"/>
  <c r="S121" i="4"/>
  <c r="R121" i="4"/>
  <c r="N121" i="4"/>
  <c r="M121" i="4"/>
  <c r="L121" i="4"/>
  <c r="I121" i="4"/>
  <c r="K121" i="4" s="1"/>
  <c r="H121" i="4"/>
  <c r="J121" i="4" s="1"/>
  <c r="X120" i="4"/>
  <c r="V120" i="4"/>
  <c r="T120" i="4"/>
  <c r="U120" i="4" s="1"/>
  <c r="R120" i="4"/>
  <c r="S120" i="4" s="1"/>
  <c r="P120" i="4"/>
  <c r="O120" i="4"/>
  <c r="N120" i="4"/>
  <c r="M120" i="4"/>
  <c r="L120" i="4"/>
  <c r="H120" i="4"/>
  <c r="I120" i="4" s="1"/>
  <c r="X119" i="4"/>
  <c r="V119" i="4"/>
  <c r="W119" i="4" s="1"/>
  <c r="U119" i="4"/>
  <c r="T119" i="4"/>
  <c r="R119" i="4"/>
  <c r="P119" i="4"/>
  <c r="N119" i="4"/>
  <c r="M119" i="4"/>
  <c r="L119" i="4"/>
  <c r="H119" i="4"/>
  <c r="J119" i="4" s="1"/>
  <c r="X118" i="4"/>
  <c r="V118" i="4"/>
  <c r="W117" i="4" s="1"/>
  <c r="T118" i="4"/>
  <c r="U118" i="4" s="1"/>
  <c r="R118" i="4"/>
  <c r="S118" i="4" s="1"/>
  <c r="N118" i="4"/>
  <c r="M118" i="4"/>
  <c r="L118" i="4"/>
  <c r="J118" i="4"/>
  <c r="I118" i="4"/>
  <c r="K118" i="4" s="1"/>
  <c r="H118" i="4"/>
  <c r="X117" i="4"/>
  <c r="V117" i="4"/>
  <c r="T117" i="4"/>
  <c r="R117" i="4"/>
  <c r="S116" i="4" s="1"/>
  <c r="P117" i="4"/>
  <c r="N117" i="4"/>
  <c r="M117" i="4"/>
  <c r="L117" i="4"/>
  <c r="H117" i="4"/>
  <c r="I117" i="4" s="1"/>
  <c r="X116" i="4"/>
  <c r="V116" i="4"/>
  <c r="W116" i="4" s="1"/>
  <c r="T116" i="4"/>
  <c r="U116" i="4" s="1"/>
  <c r="R116" i="4"/>
  <c r="N116" i="4"/>
  <c r="O116" i="4" s="1"/>
  <c r="M116" i="4"/>
  <c r="L116" i="4"/>
  <c r="I116" i="4"/>
  <c r="K116" i="4" s="1"/>
  <c r="H116" i="4"/>
  <c r="J116" i="4" s="1"/>
  <c r="X115" i="4"/>
  <c r="W115" i="4"/>
  <c r="V115" i="4"/>
  <c r="U115" i="4"/>
  <c r="T115" i="4"/>
  <c r="R115" i="4"/>
  <c r="S115" i="4" s="1"/>
  <c r="N115" i="4"/>
  <c r="M115" i="4"/>
  <c r="L115" i="4"/>
  <c r="J115" i="4"/>
  <c r="I115" i="4"/>
  <c r="H115" i="4"/>
  <c r="X114" i="4"/>
  <c r="V114" i="4"/>
  <c r="W114" i="4" s="1"/>
  <c r="U114" i="4"/>
  <c r="T114" i="4"/>
  <c r="R114" i="4"/>
  <c r="N114" i="4"/>
  <c r="M114" i="4"/>
  <c r="L114" i="4"/>
  <c r="H114" i="4"/>
  <c r="I114" i="4" s="1"/>
  <c r="X113" i="4"/>
  <c r="V113" i="4"/>
  <c r="W113" i="4" s="1"/>
  <c r="T113" i="4"/>
  <c r="U113" i="4" s="1"/>
  <c r="R113" i="4"/>
  <c r="N113" i="4"/>
  <c r="M113" i="4"/>
  <c r="L113" i="4"/>
  <c r="I113" i="4"/>
  <c r="H113" i="4"/>
  <c r="J113" i="4" s="1"/>
  <c r="K113" i="4" s="1"/>
  <c r="X112" i="4"/>
  <c r="W112" i="4"/>
  <c r="V112" i="4"/>
  <c r="T112" i="4"/>
  <c r="U112" i="4" s="1"/>
  <c r="R112" i="4"/>
  <c r="S112" i="4" s="1"/>
  <c r="N112" i="4"/>
  <c r="M112" i="4"/>
  <c r="L112" i="4"/>
  <c r="H112" i="4"/>
  <c r="I112" i="4" s="1"/>
  <c r="X111" i="4"/>
  <c r="V111" i="4"/>
  <c r="W111" i="4" s="1"/>
  <c r="U111" i="4"/>
  <c r="T111" i="4"/>
  <c r="S111" i="4"/>
  <c r="R111" i="4"/>
  <c r="N111" i="4"/>
  <c r="M111" i="4"/>
  <c r="L111" i="4"/>
  <c r="H111" i="4"/>
  <c r="X110" i="4"/>
  <c r="V110" i="4"/>
  <c r="W110" i="4" s="1"/>
  <c r="T110" i="4"/>
  <c r="U110" i="4" s="1"/>
  <c r="R110" i="4"/>
  <c r="S110" i="4" s="1"/>
  <c r="N110" i="4"/>
  <c r="M110" i="4"/>
  <c r="L110" i="4"/>
  <c r="J110" i="4"/>
  <c r="I110" i="4"/>
  <c r="K110" i="4" s="1"/>
  <c r="H110" i="4"/>
  <c r="X109" i="4"/>
  <c r="W109" i="4"/>
  <c r="V109" i="4"/>
  <c r="T109" i="4"/>
  <c r="R109" i="4"/>
  <c r="S109" i="4" s="1"/>
  <c r="N109" i="4"/>
  <c r="M109" i="4"/>
  <c r="L109" i="4"/>
  <c r="H109" i="4"/>
  <c r="I109" i="4" s="1"/>
  <c r="X108" i="4"/>
  <c r="V108" i="4"/>
  <c r="W108" i="4" s="1"/>
  <c r="T108" i="4"/>
  <c r="U108" i="4" s="1"/>
  <c r="S108" i="4"/>
  <c r="R108" i="4"/>
  <c r="N108" i="4"/>
  <c r="M108" i="4"/>
  <c r="L108" i="4"/>
  <c r="I108" i="4"/>
  <c r="K108" i="4" s="1"/>
  <c r="H108" i="4"/>
  <c r="J108" i="4" s="1"/>
  <c r="X107" i="4"/>
  <c r="V107" i="4"/>
  <c r="T107" i="4"/>
  <c r="U106" i="4" s="1"/>
  <c r="R107" i="4"/>
  <c r="S107" i="4" s="1"/>
  <c r="N107" i="4"/>
  <c r="M107" i="4"/>
  <c r="L107" i="4"/>
  <c r="J107" i="4"/>
  <c r="I107" i="4"/>
  <c r="H107" i="4"/>
  <c r="X106" i="4"/>
  <c r="V106" i="4"/>
  <c r="W106" i="4" s="1"/>
  <c r="T106" i="4"/>
  <c r="R106" i="4"/>
  <c r="S105" i="4" s="1"/>
  <c r="N106" i="4"/>
  <c r="M106" i="4"/>
  <c r="L106" i="4"/>
  <c r="J106" i="4"/>
  <c r="H106" i="4"/>
  <c r="I106" i="4" s="1"/>
  <c r="K106" i="4" s="1"/>
  <c r="X105" i="4"/>
  <c r="V105" i="4"/>
  <c r="W104" i="4" s="1"/>
  <c r="T105" i="4"/>
  <c r="U105" i="4" s="1"/>
  <c r="R105" i="4"/>
  <c r="N105" i="4"/>
  <c r="M105" i="4"/>
  <c r="L105" i="4"/>
  <c r="K105" i="4"/>
  <c r="I105" i="4"/>
  <c r="H105" i="4"/>
  <c r="J105" i="4" s="1"/>
  <c r="X104" i="4"/>
  <c r="V104" i="4"/>
  <c r="T104" i="4"/>
  <c r="U103" i="4" s="1"/>
  <c r="R104" i="4"/>
  <c r="S104" i="4" s="1"/>
  <c r="N104" i="4"/>
  <c r="M104" i="4"/>
  <c r="L104" i="4"/>
  <c r="J104" i="4"/>
  <c r="I104" i="4"/>
  <c r="K104" i="4" s="1"/>
  <c r="H104" i="4"/>
  <c r="X103" i="4"/>
  <c r="V103" i="4"/>
  <c r="W103" i="4" s="1"/>
  <c r="T103" i="4"/>
  <c r="R103" i="4"/>
  <c r="S102" i="4" s="1"/>
  <c r="N103" i="4"/>
  <c r="M103" i="4"/>
  <c r="L103" i="4"/>
  <c r="H103" i="4"/>
  <c r="X102" i="4"/>
  <c r="V102" i="4"/>
  <c r="W101" i="4" s="1"/>
  <c r="T102" i="4"/>
  <c r="U102" i="4" s="1"/>
  <c r="R102" i="4"/>
  <c r="O102" i="4"/>
  <c r="N102" i="4"/>
  <c r="M102" i="4"/>
  <c r="L102" i="4"/>
  <c r="J102" i="4"/>
  <c r="I102" i="4"/>
  <c r="K102" i="4" s="1"/>
  <c r="H102" i="4"/>
  <c r="X101" i="4"/>
  <c r="V101" i="4"/>
  <c r="U101" i="4"/>
  <c r="T101" i="4"/>
  <c r="S101" i="4"/>
  <c r="R101" i="4"/>
  <c r="S100" i="4" s="1"/>
  <c r="O101" i="4"/>
  <c r="N101" i="4"/>
  <c r="M101" i="4"/>
  <c r="L101" i="4"/>
  <c r="J101" i="4"/>
  <c r="H101" i="4"/>
  <c r="I101" i="4" s="1"/>
  <c r="K101" i="4" s="1"/>
  <c r="X100" i="4"/>
  <c r="V100" i="4"/>
  <c r="W100" i="4" s="1"/>
  <c r="T100" i="4"/>
  <c r="U100" i="4" s="1"/>
  <c r="R100" i="4"/>
  <c r="N100" i="4"/>
  <c r="M100" i="4"/>
  <c r="L100" i="4"/>
  <c r="I100" i="4"/>
  <c r="K100" i="4" s="1"/>
  <c r="H100" i="4"/>
  <c r="J100" i="4" s="1"/>
  <c r="X99" i="4"/>
  <c r="V99" i="4"/>
  <c r="W99" i="4" s="1"/>
  <c r="U99" i="4"/>
  <c r="T99" i="4"/>
  <c r="R99" i="4"/>
  <c r="S99" i="4" s="1"/>
  <c r="N99" i="4"/>
  <c r="M99" i="4"/>
  <c r="L99" i="4"/>
  <c r="J99" i="4"/>
  <c r="I99" i="4"/>
  <c r="H99" i="4"/>
  <c r="X98" i="4"/>
  <c r="V98" i="4"/>
  <c r="W97" i="4" s="1"/>
  <c r="U98" i="4"/>
  <c r="T98" i="4"/>
  <c r="S98" i="4"/>
  <c r="R98" i="4"/>
  <c r="N98" i="4"/>
  <c r="M98" i="4"/>
  <c r="L98" i="4"/>
  <c r="K98" i="4"/>
  <c r="J98" i="4"/>
  <c r="H98" i="4"/>
  <c r="I98" i="4" s="1"/>
  <c r="X97" i="4"/>
  <c r="V97" i="4"/>
  <c r="W96" i="4" s="1"/>
  <c r="T97" i="4"/>
  <c r="U97" i="4" s="1"/>
  <c r="S97" i="4"/>
  <c r="R97" i="4"/>
  <c r="Q97" i="4"/>
  <c r="N97" i="4"/>
  <c r="P97" i="4" s="1"/>
  <c r="M97" i="4"/>
  <c r="L97" i="4"/>
  <c r="H97" i="4"/>
  <c r="J97" i="4" s="1"/>
  <c r="X96" i="4"/>
  <c r="V96" i="4"/>
  <c r="T96" i="4"/>
  <c r="U95" i="4" s="1"/>
  <c r="R96" i="4"/>
  <c r="S96" i="4" s="1"/>
  <c r="Q96" i="4"/>
  <c r="P96" i="4"/>
  <c r="N96" i="4"/>
  <c r="M96" i="4"/>
  <c r="L96" i="4"/>
  <c r="H96" i="4"/>
  <c r="X95" i="4"/>
  <c r="V95" i="4"/>
  <c r="W95" i="4" s="1"/>
  <c r="T95" i="4"/>
  <c r="R95" i="4"/>
  <c r="S94" i="4" s="1"/>
  <c r="N95" i="4"/>
  <c r="M95" i="4"/>
  <c r="L95" i="4"/>
  <c r="I95" i="4"/>
  <c r="K95" i="4" s="1"/>
  <c r="H95" i="4"/>
  <c r="J95" i="4" s="1"/>
  <c r="X94" i="4"/>
  <c r="W94" i="4"/>
  <c r="V94" i="4"/>
  <c r="T94" i="4"/>
  <c r="U94" i="4" s="1"/>
  <c r="R94" i="4"/>
  <c r="N94" i="4"/>
  <c r="M94" i="4"/>
  <c r="L94" i="4"/>
  <c r="J94" i="4"/>
  <c r="I94" i="4"/>
  <c r="K94" i="4" s="1"/>
  <c r="H94" i="4"/>
  <c r="X93" i="4"/>
  <c r="W93" i="4"/>
  <c r="V93" i="4"/>
  <c r="T93" i="4"/>
  <c r="U93" i="4" s="1"/>
  <c r="S93" i="4"/>
  <c r="R93" i="4"/>
  <c r="S92" i="4" s="1"/>
  <c r="N93" i="4"/>
  <c r="Q93" i="4" s="1"/>
  <c r="M93" i="4"/>
  <c r="L93" i="4"/>
  <c r="J93" i="4"/>
  <c r="H93" i="4"/>
  <c r="I93" i="4" s="1"/>
  <c r="K93" i="4" s="1"/>
  <c r="X92" i="4"/>
  <c r="V92" i="4"/>
  <c r="W92" i="4" s="1"/>
  <c r="T92" i="4"/>
  <c r="U92" i="4" s="1"/>
  <c r="R92" i="4"/>
  <c r="N92" i="4"/>
  <c r="M92" i="4"/>
  <c r="L92" i="4"/>
  <c r="H92" i="4"/>
  <c r="J92" i="4" s="1"/>
  <c r="X91" i="4"/>
  <c r="W91" i="4"/>
  <c r="V91" i="4"/>
  <c r="T91" i="4"/>
  <c r="R91" i="4"/>
  <c r="S91" i="4" s="1"/>
  <c r="N91" i="4"/>
  <c r="Q91" i="4" s="1"/>
  <c r="M91" i="4"/>
  <c r="L91" i="4"/>
  <c r="I91" i="4"/>
  <c r="H91" i="4"/>
  <c r="J91" i="4" s="1"/>
  <c r="X90" i="4"/>
  <c r="V90" i="4"/>
  <c r="W90" i="4" s="1"/>
  <c r="U90" i="4"/>
  <c r="T90" i="4"/>
  <c r="R90" i="4"/>
  <c r="S90" i="4" s="1"/>
  <c r="N90" i="4"/>
  <c r="Q87" i="4" s="1"/>
  <c r="M90" i="4"/>
  <c r="L90" i="4"/>
  <c r="H90" i="4"/>
  <c r="J90" i="4" s="1"/>
  <c r="X89" i="4"/>
  <c r="W89" i="4"/>
  <c r="V89" i="4"/>
  <c r="T89" i="4"/>
  <c r="U89" i="4" s="1"/>
  <c r="S89" i="4"/>
  <c r="R89" i="4"/>
  <c r="O89" i="4"/>
  <c r="N89" i="4"/>
  <c r="M89" i="4"/>
  <c r="L89" i="4"/>
  <c r="I89" i="4"/>
  <c r="H89" i="4"/>
  <c r="J89" i="4" s="1"/>
  <c r="X88" i="4"/>
  <c r="W88" i="4"/>
  <c r="V88" i="4"/>
  <c r="T88" i="4"/>
  <c r="U88" i="4" s="1"/>
  <c r="R88" i="4"/>
  <c r="S88" i="4" s="1"/>
  <c r="P88" i="4"/>
  <c r="N88" i="4"/>
  <c r="M88" i="4"/>
  <c r="L88" i="4"/>
  <c r="H88" i="4"/>
  <c r="X87" i="4"/>
  <c r="V87" i="4"/>
  <c r="W87" i="4" s="1"/>
  <c r="U87" i="4"/>
  <c r="T87" i="4"/>
  <c r="S87" i="4"/>
  <c r="R87" i="4"/>
  <c r="P87" i="4"/>
  <c r="N87" i="4"/>
  <c r="M87" i="4"/>
  <c r="L87" i="4"/>
  <c r="H87" i="4"/>
  <c r="J87" i="4" s="1"/>
  <c r="X86" i="4"/>
  <c r="V86" i="4"/>
  <c r="W86" i="4" s="1"/>
  <c r="T86" i="4"/>
  <c r="U86" i="4" s="1"/>
  <c r="R86" i="4"/>
  <c r="S86" i="4" s="1"/>
  <c r="N86" i="4"/>
  <c r="P86" i="4" s="1"/>
  <c r="M86" i="4"/>
  <c r="L86" i="4"/>
  <c r="J86" i="4"/>
  <c r="I86" i="4"/>
  <c r="H86" i="4"/>
  <c r="X85" i="4"/>
  <c r="W85" i="4"/>
  <c r="V85" i="4"/>
  <c r="U85" i="4"/>
  <c r="T85" i="4"/>
  <c r="S85" i="4"/>
  <c r="R85" i="4"/>
  <c r="S84" i="4" s="1"/>
  <c r="N85" i="4"/>
  <c r="Q85" i="4" s="1"/>
  <c r="M85" i="4"/>
  <c r="L85" i="4"/>
  <c r="J85" i="4"/>
  <c r="H85" i="4"/>
  <c r="I85" i="4" s="1"/>
  <c r="K85" i="4" s="1"/>
  <c r="X84" i="4"/>
  <c r="V84" i="4"/>
  <c r="W84" i="4" s="1"/>
  <c r="T84" i="4"/>
  <c r="R84" i="4"/>
  <c r="N84" i="4"/>
  <c r="M84" i="4"/>
  <c r="L84" i="4"/>
  <c r="H84" i="4"/>
  <c r="J84" i="4" s="1"/>
  <c r="X83" i="4"/>
  <c r="V83" i="4"/>
  <c r="T83" i="4"/>
  <c r="R83" i="4"/>
  <c r="S83" i="4" s="1"/>
  <c r="O83" i="4"/>
  <c r="N83" i="4"/>
  <c r="M83" i="4"/>
  <c r="L83" i="4"/>
  <c r="I83" i="4"/>
  <c r="H83" i="4"/>
  <c r="J83" i="4" s="1"/>
  <c r="X82" i="4"/>
  <c r="V82" i="4"/>
  <c r="W82" i="4" s="1"/>
  <c r="U82" i="4"/>
  <c r="T82" i="4"/>
  <c r="R82" i="4"/>
  <c r="S82" i="4" s="1"/>
  <c r="N82" i="4"/>
  <c r="M82" i="4"/>
  <c r="L82" i="4"/>
  <c r="H82" i="4"/>
  <c r="X81" i="4"/>
  <c r="V81" i="4"/>
  <c r="T81" i="4"/>
  <c r="U81" i="4" s="1"/>
  <c r="S81" i="4"/>
  <c r="R81" i="4"/>
  <c r="O81" i="4"/>
  <c r="N81" i="4"/>
  <c r="P81" i="4" s="1"/>
  <c r="M81" i="4"/>
  <c r="L81" i="4"/>
  <c r="I81" i="4"/>
  <c r="K81" i="4" s="1"/>
  <c r="H81" i="4"/>
  <c r="J81" i="4" s="1"/>
  <c r="X80" i="4"/>
  <c r="V80" i="4"/>
  <c r="T80" i="4"/>
  <c r="U80" i="4" s="1"/>
  <c r="R80" i="4"/>
  <c r="S80" i="4" s="1"/>
  <c r="Q80" i="4"/>
  <c r="N80" i="4"/>
  <c r="M80" i="4"/>
  <c r="L80" i="4"/>
  <c r="H80" i="4"/>
  <c r="X79" i="4"/>
  <c r="V79" i="4"/>
  <c r="W79" i="4" s="1"/>
  <c r="U79" i="4"/>
  <c r="T79" i="4"/>
  <c r="S79" i="4"/>
  <c r="R79" i="4"/>
  <c r="S78" i="4" s="1"/>
  <c r="Q79" i="4"/>
  <c r="P79" i="4"/>
  <c r="N79" i="4"/>
  <c r="M79" i="4"/>
  <c r="L79" i="4"/>
  <c r="J79" i="4"/>
  <c r="I79" i="4"/>
  <c r="K79" i="4" s="1"/>
  <c r="H79" i="4"/>
  <c r="X78" i="4"/>
  <c r="V78" i="4"/>
  <c r="W78" i="4" s="1"/>
  <c r="T78" i="4"/>
  <c r="U78" i="4" s="1"/>
  <c r="R78" i="4"/>
  <c r="Q78" i="4"/>
  <c r="N78" i="4"/>
  <c r="M78" i="4"/>
  <c r="L78" i="4"/>
  <c r="J78" i="4"/>
  <c r="I78" i="4"/>
  <c r="K78" i="4" s="1"/>
  <c r="H78" i="4"/>
  <c r="X77" i="4"/>
  <c r="W77" i="4"/>
  <c r="V77" i="4"/>
  <c r="U77" i="4"/>
  <c r="T77" i="4"/>
  <c r="R77" i="4"/>
  <c r="S77" i="4" s="1"/>
  <c r="N77" i="4"/>
  <c r="Q75" i="4" s="1"/>
  <c r="M77" i="4"/>
  <c r="L77" i="4"/>
  <c r="K77" i="4"/>
  <c r="J77" i="4"/>
  <c r="H77" i="4"/>
  <c r="I77" i="4" s="1"/>
  <c r="X76" i="4"/>
  <c r="V76" i="4"/>
  <c r="W76" i="4" s="1"/>
  <c r="U76" i="4"/>
  <c r="T76" i="4"/>
  <c r="S76" i="4"/>
  <c r="R76" i="4"/>
  <c r="N76" i="4"/>
  <c r="M76" i="4"/>
  <c r="L76" i="4"/>
  <c r="H76" i="4"/>
  <c r="X75" i="4"/>
  <c r="V75" i="4"/>
  <c r="W75" i="4" s="1"/>
  <c r="T75" i="4"/>
  <c r="U74" i="4" s="1"/>
  <c r="R75" i="4"/>
  <c r="S75" i="4" s="1"/>
  <c r="P75" i="4"/>
  <c r="N75" i="4"/>
  <c r="O75" i="4" s="1"/>
  <c r="M75" i="4"/>
  <c r="L75" i="4"/>
  <c r="I75" i="4"/>
  <c r="K75" i="4" s="1"/>
  <c r="H75" i="4"/>
  <c r="J75" i="4" s="1"/>
  <c r="X74" i="4"/>
  <c r="W74" i="4"/>
  <c r="V74" i="4"/>
  <c r="T74" i="4"/>
  <c r="R74" i="4"/>
  <c r="S74" i="4" s="1"/>
  <c r="N74" i="4"/>
  <c r="M74" i="4"/>
  <c r="L74" i="4"/>
  <c r="H74" i="4"/>
  <c r="J74" i="4" s="1"/>
  <c r="X73" i="4"/>
  <c r="V73" i="4"/>
  <c r="T73" i="4"/>
  <c r="U73" i="4" s="1"/>
  <c r="R73" i="4"/>
  <c r="S73" i="4" s="1"/>
  <c r="N73" i="4"/>
  <c r="Q73" i="4" s="1"/>
  <c r="M73" i="4"/>
  <c r="L73" i="4"/>
  <c r="H73" i="4"/>
  <c r="J73" i="4" s="1"/>
  <c r="X72" i="4"/>
  <c r="V72" i="4"/>
  <c r="T72" i="4"/>
  <c r="U72" i="4" s="1"/>
  <c r="R72" i="4"/>
  <c r="S72" i="4" s="1"/>
  <c r="N72" i="4"/>
  <c r="M72" i="4"/>
  <c r="L72" i="4"/>
  <c r="H72" i="4"/>
  <c r="J72" i="4" s="1"/>
  <c r="X71" i="4"/>
  <c r="V71" i="4"/>
  <c r="W71" i="4" s="1"/>
  <c r="U71" i="4"/>
  <c r="T71" i="4"/>
  <c r="R71" i="4"/>
  <c r="S70" i="4" s="1"/>
  <c r="N71" i="4"/>
  <c r="M71" i="4"/>
  <c r="L71" i="4"/>
  <c r="I71" i="4"/>
  <c r="H71" i="4"/>
  <c r="J71" i="4" s="1"/>
  <c r="X70" i="4"/>
  <c r="V70" i="4"/>
  <c r="W70" i="4" s="1"/>
  <c r="T70" i="4"/>
  <c r="R70" i="4"/>
  <c r="N70" i="4"/>
  <c r="M70" i="4"/>
  <c r="L70" i="4"/>
  <c r="J70" i="4"/>
  <c r="K70" i="4" s="1"/>
  <c r="I70" i="4"/>
  <c r="H70" i="4"/>
  <c r="X69" i="4"/>
  <c r="V69" i="4"/>
  <c r="W69" i="4" s="1"/>
  <c r="T69" i="4"/>
  <c r="S69" i="4"/>
  <c r="R69" i="4"/>
  <c r="N69" i="4"/>
  <c r="M69" i="4"/>
  <c r="L69" i="4"/>
  <c r="J69" i="4"/>
  <c r="H69" i="4"/>
  <c r="I69" i="4" s="1"/>
  <c r="K69" i="4" s="1"/>
  <c r="X68" i="4"/>
  <c r="V68" i="4"/>
  <c r="W68" i="4" s="1"/>
  <c r="T68" i="4"/>
  <c r="U68" i="4" s="1"/>
  <c r="S68" i="4"/>
  <c r="R68" i="4"/>
  <c r="N68" i="4"/>
  <c r="M68" i="4"/>
  <c r="L68" i="4"/>
  <c r="H68" i="4"/>
  <c r="X67" i="4"/>
  <c r="W67" i="4"/>
  <c r="V67" i="4"/>
  <c r="T67" i="4"/>
  <c r="U66" i="4" s="1"/>
  <c r="R67" i="4"/>
  <c r="S67" i="4" s="1"/>
  <c r="N67" i="4"/>
  <c r="M67" i="4"/>
  <c r="L67" i="4"/>
  <c r="H67" i="4"/>
  <c r="J67" i="4" s="1"/>
  <c r="X66" i="4"/>
  <c r="V66" i="4"/>
  <c r="W66" i="4" s="1"/>
  <c r="T66" i="4"/>
  <c r="S66" i="4"/>
  <c r="R66" i="4"/>
  <c r="N66" i="4"/>
  <c r="M66" i="4"/>
  <c r="L66" i="4"/>
  <c r="I66" i="4"/>
  <c r="H66" i="4"/>
  <c r="J66" i="4" s="1"/>
  <c r="X65" i="4"/>
  <c r="W65" i="4"/>
  <c r="V65" i="4"/>
  <c r="T65" i="4"/>
  <c r="U65" i="4" s="1"/>
  <c r="S65" i="4"/>
  <c r="R65" i="4"/>
  <c r="N65" i="4"/>
  <c r="M65" i="4"/>
  <c r="L65" i="4"/>
  <c r="I65" i="4"/>
  <c r="H65" i="4"/>
  <c r="J65" i="4" s="1"/>
  <c r="X64" i="4"/>
  <c r="W64" i="4"/>
  <c r="V64" i="4"/>
  <c r="T64" i="4"/>
  <c r="U64" i="4" s="1"/>
  <c r="R64" i="4"/>
  <c r="S64" i="4" s="1"/>
  <c r="N64" i="4"/>
  <c r="M64" i="4"/>
  <c r="L64" i="4"/>
  <c r="J64" i="4"/>
  <c r="I64" i="4"/>
  <c r="K64" i="4" s="1"/>
  <c r="H64" i="4"/>
  <c r="X63" i="4"/>
  <c r="V63" i="4"/>
  <c r="W63" i="4" s="1"/>
  <c r="T63" i="4"/>
  <c r="U63" i="4" s="1"/>
  <c r="R63" i="4"/>
  <c r="S63" i="4" s="1"/>
  <c r="N63" i="4"/>
  <c r="M63" i="4"/>
  <c r="L63" i="4"/>
  <c r="I63" i="4"/>
  <c r="H63" i="4"/>
  <c r="J63" i="4" s="1"/>
  <c r="X62" i="4"/>
  <c r="W62" i="4"/>
  <c r="V62" i="4"/>
  <c r="T62" i="4"/>
  <c r="U62" i="4" s="1"/>
  <c r="R62" i="4"/>
  <c r="S62" i="4" s="1"/>
  <c r="N62" i="4"/>
  <c r="M62" i="4"/>
  <c r="L62" i="4"/>
  <c r="J62" i="4"/>
  <c r="I62" i="4"/>
  <c r="K62" i="4" s="1"/>
  <c r="H62" i="4"/>
  <c r="X61" i="4"/>
  <c r="W61" i="4"/>
  <c r="V61" i="4"/>
  <c r="T61" i="4"/>
  <c r="U60" i="4" s="1"/>
  <c r="R61" i="4"/>
  <c r="S60" i="4" s="1"/>
  <c r="N61" i="4"/>
  <c r="M61" i="4"/>
  <c r="L61" i="4"/>
  <c r="H61" i="4"/>
  <c r="I61" i="4" s="1"/>
  <c r="X60" i="4"/>
  <c r="V60" i="4"/>
  <c r="W60" i="4" s="1"/>
  <c r="T60" i="4"/>
  <c r="R60" i="4"/>
  <c r="N60" i="4"/>
  <c r="M60" i="4"/>
  <c r="L60" i="4"/>
  <c r="H60" i="4"/>
  <c r="J60" i="4" s="1"/>
  <c r="X59" i="4"/>
  <c r="V59" i="4"/>
  <c r="W59" i="4" s="1"/>
  <c r="U59" i="4"/>
  <c r="T59" i="4"/>
  <c r="S59" i="4"/>
  <c r="R59" i="4"/>
  <c r="N59" i="4"/>
  <c r="Q48" i="4" s="1"/>
  <c r="M59" i="4"/>
  <c r="L59" i="4"/>
  <c r="I59" i="4"/>
  <c r="H59" i="4"/>
  <c r="J59" i="4" s="1"/>
  <c r="X58" i="4"/>
  <c r="W58" i="4"/>
  <c r="V58" i="4"/>
  <c r="T58" i="4"/>
  <c r="U58" i="4" s="1"/>
  <c r="R58" i="4"/>
  <c r="S58" i="4" s="1"/>
  <c r="N58" i="4"/>
  <c r="M58" i="4"/>
  <c r="L58" i="4"/>
  <c r="J58" i="4"/>
  <c r="I58" i="4"/>
  <c r="K58" i="4" s="1"/>
  <c r="H58" i="4"/>
  <c r="X57" i="4"/>
  <c r="W57" i="4"/>
  <c r="V57" i="4"/>
  <c r="U57" i="4"/>
  <c r="T57" i="4"/>
  <c r="S57" i="4"/>
  <c r="R57" i="4"/>
  <c r="P57" i="4"/>
  <c r="N57" i="4"/>
  <c r="M57" i="4"/>
  <c r="L57" i="4"/>
  <c r="H57" i="4"/>
  <c r="X56" i="4"/>
  <c r="V56" i="4"/>
  <c r="W56" i="4" s="1"/>
  <c r="T56" i="4"/>
  <c r="U56" i="4" s="1"/>
  <c r="S56" i="4"/>
  <c r="R56" i="4"/>
  <c r="N56" i="4"/>
  <c r="M56" i="4"/>
  <c r="L56" i="4"/>
  <c r="J56" i="4"/>
  <c r="I56" i="4"/>
  <c r="K56" i="4" s="1"/>
  <c r="H56" i="4"/>
  <c r="X55" i="4"/>
  <c r="W55" i="4"/>
  <c r="V55" i="4"/>
  <c r="U55" i="4"/>
  <c r="T55" i="4"/>
  <c r="R55" i="4"/>
  <c r="S55" i="4" s="1"/>
  <c r="N55" i="4"/>
  <c r="M55" i="4"/>
  <c r="L55" i="4"/>
  <c r="J55" i="4"/>
  <c r="K55" i="4" s="1"/>
  <c r="I55" i="4"/>
  <c r="H55" i="4"/>
  <c r="X54" i="4"/>
  <c r="V54" i="4"/>
  <c r="W54" i="4" s="1"/>
  <c r="U54" i="4"/>
  <c r="T54" i="4"/>
  <c r="S54" i="4"/>
  <c r="R54" i="4"/>
  <c r="N54" i="4"/>
  <c r="M54" i="4"/>
  <c r="L54" i="4"/>
  <c r="H54" i="4"/>
  <c r="J54" i="4" s="1"/>
  <c r="X53" i="4"/>
  <c r="W53" i="4"/>
  <c r="V53" i="4"/>
  <c r="T53" i="4"/>
  <c r="U53" i="4" s="1"/>
  <c r="S53" i="4"/>
  <c r="R53" i="4"/>
  <c r="O53" i="4"/>
  <c r="N53" i="4"/>
  <c r="M53" i="4"/>
  <c r="L53" i="4"/>
  <c r="I53" i="4"/>
  <c r="K53" i="4" s="1"/>
  <c r="H53" i="4"/>
  <c r="J53" i="4" s="1"/>
  <c r="X52" i="4"/>
  <c r="W52" i="4"/>
  <c r="V52" i="4"/>
  <c r="U52" i="4"/>
  <c r="T52" i="4"/>
  <c r="R52" i="4"/>
  <c r="S52" i="4" s="1"/>
  <c r="O52" i="4"/>
  <c r="N52" i="4"/>
  <c r="M52" i="4"/>
  <c r="L52" i="4"/>
  <c r="H52" i="4"/>
  <c r="J52" i="4" s="1"/>
  <c r="X51" i="4"/>
  <c r="V51" i="4"/>
  <c r="W51" i="4" s="1"/>
  <c r="U51" i="4"/>
  <c r="T51" i="4"/>
  <c r="S51" i="4"/>
  <c r="R51" i="4"/>
  <c r="N51" i="4"/>
  <c r="M51" i="4"/>
  <c r="L51" i="4"/>
  <c r="I51" i="4"/>
  <c r="K51" i="4" s="1"/>
  <c r="H51" i="4"/>
  <c r="J51" i="4" s="1"/>
  <c r="X50" i="4"/>
  <c r="V50" i="4"/>
  <c r="T50" i="4"/>
  <c r="U50" i="4" s="1"/>
  <c r="R50" i="4"/>
  <c r="S50" i="4" s="1"/>
  <c r="O50" i="4"/>
  <c r="N50" i="4"/>
  <c r="M50" i="4"/>
  <c r="L50" i="4"/>
  <c r="J50" i="4"/>
  <c r="I50" i="4"/>
  <c r="K50" i="4" s="1"/>
  <c r="H50" i="4"/>
  <c r="X49" i="4"/>
  <c r="W49" i="4"/>
  <c r="V49" i="4"/>
  <c r="T49" i="4"/>
  <c r="U49" i="4" s="1"/>
  <c r="S49" i="4"/>
  <c r="R49" i="4"/>
  <c r="P49" i="4"/>
  <c r="N49" i="4"/>
  <c r="M49" i="4"/>
  <c r="L49" i="4"/>
  <c r="H49" i="4"/>
  <c r="X48" i="4"/>
  <c r="V48" i="4"/>
  <c r="W48" i="4" s="1"/>
  <c r="T48" i="4"/>
  <c r="U48" i="4" s="1"/>
  <c r="S48" i="4"/>
  <c r="R48" i="4"/>
  <c r="N48" i="4"/>
  <c r="P48" i="4" s="1"/>
  <c r="M48" i="4"/>
  <c r="L48" i="4"/>
  <c r="J48" i="4"/>
  <c r="I48" i="4"/>
  <c r="K48" i="4" s="1"/>
  <c r="H48" i="4"/>
  <c r="X47" i="4"/>
  <c r="V47" i="4"/>
  <c r="W47" i="4" s="1"/>
  <c r="U47" i="4"/>
  <c r="T47" i="4"/>
  <c r="R47" i="4"/>
  <c r="S47" i="4" s="1"/>
  <c r="N47" i="4"/>
  <c r="M47" i="4"/>
  <c r="L47" i="4"/>
  <c r="J47" i="4"/>
  <c r="K47" i="4" s="1"/>
  <c r="I47" i="4"/>
  <c r="H47" i="4"/>
  <c r="X46" i="4"/>
  <c r="V46" i="4"/>
  <c r="W46" i="4" s="1"/>
  <c r="U46" i="4"/>
  <c r="T46" i="4"/>
  <c r="R46" i="4"/>
  <c r="N46" i="4"/>
  <c r="M46" i="4"/>
  <c r="L46" i="4"/>
  <c r="H46" i="4"/>
  <c r="J46" i="4" s="1"/>
  <c r="X45" i="4"/>
  <c r="W45" i="4"/>
  <c r="V45" i="4"/>
  <c r="T45" i="4"/>
  <c r="U45" i="4" s="1"/>
  <c r="S45" i="4"/>
  <c r="R45" i="4"/>
  <c r="O45" i="4"/>
  <c r="N45" i="4"/>
  <c r="M45" i="4"/>
  <c r="L45" i="4"/>
  <c r="I45" i="4"/>
  <c r="H45" i="4"/>
  <c r="J45" i="4" s="1"/>
  <c r="X44" i="4"/>
  <c r="W44" i="4"/>
  <c r="V44" i="4"/>
  <c r="U44" i="4"/>
  <c r="T44" i="4"/>
  <c r="R44" i="4"/>
  <c r="S44" i="4" s="1"/>
  <c r="O44" i="4"/>
  <c r="N44" i="4"/>
  <c r="M44" i="4"/>
  <c r="L44" i="4"/>
  <c r="H44" i="4"/>
  <c r="J44" i="4" s="1"/>
  <c r="X43" i="4"/>
  <c r="V43" i="4"/>
  <c r="W43" i="4" s="1"/>
  <c r="U43" i="4"/>
  <c r="T43" i="4"/>
  <c r="S43" i="4"/>
  <c r="R43" i="4"/>
  <c r="N43" i="4"/>
  <c r="Q36" i="4" s="1"/>
  <c r="M43" i="4"/>
  <c r="L43" i="4"/>
  <c r="I43" i="4"/>
  <c r="H43" i="4"/>
  <c r="J43" i="4" s="1"/>
  <c r="X42" i="4"/>
  <c r="W42" i="4"/>
  <c r="V42" i="4"/>
  <c r="T42" i="4"/>
  <c r="U42" i="4" s="1"/>
  <c r="R42" i="4"/>
  <c r="S42" i="4" s="1"/>
  <c r="N42" i="4"/>
  <c r="M42" i="4"/>
  <c r="L42" i="4"/>
  <c r="J42" i="4"/>
  <c r="I42" i="4"/>
  <c r="K42" i="4" s="1"/>
  <c r="H42" i="4"/>
  <c r="X41" i="4"/>
  <c r="W41" i="4"/>
  <c r="V41" i="4"/>
  <c r="U41" i="4"/>
  <c r="T41" i="4"/>
  <c r="S41" i="4"/>
  <c r="R41" i="4"/>
  <c r="N41" i="4"/>
  <c r="M41" i="4"/>
  <c r="L41" i="4"/>
  <c r="H41" i="4"/>
  <c r="X40" i="4"/>
  <c r="V40" i="4"/>
  <c r="W40" i="4" s="1"/>
  <c r="T40" i="4"/>
  <c r="U40" i="4" s="1"/>
  <c r="S40" i="4"/>
  <c r="R40" i="4"/>
  <c r="N40" i="4"/>
  <c r="M40" i="4"/>
  <c r="L40" i="4"/>
  <c r="J40" i="4"/>
  <c r="I40" i="4"/>
  <c r="K40" i="4" s="1"/>
  <c r="H40" i="4"/>
  <c r="X39" i="4"/>
  <c r="Y39" i="4" s="1"/>
  <c r="V39" i="4"/>
  <c r="W39" i="4" s="1"/>
  <c r="T39" i="4"/>
  <c r="S39" i="4"/>
  <c r="R39" i="4"/>
  <c r="N39" i="4"/>
  <c r="M39" i="4"/>
  <c r="L39" i="4"/>
  <c r="H39" i="4"/>
  <c r="J39" i="4" s="1"/>
  <c r="X38" i="4"/>
  <c r="Y38" i="4" s="1"/>
  <c r="V38" i="4"/>
  <c r="U38" i="4"/>
  <c r="T38" i="4"/>
  <c r="R38" i="4"/>
  <c r="S38" i="4" s="1"/>
  <c r="O38" i="4"/>
  <c r="N38" i="4"/>
  <c r="M38" i="4"/>
  <c r="L38" i="4"/>
  <c r="H38" i="4"/>
  <c r="J38" i="4" s="1"/>
  <c r="X37" i="4"/>
  <c r="W37" i="4"/>
  <c r="V37" i="4"/>
  <c r="T37" i="4"/>
  <c r="U37" i="4" s="1"/>
  <c r="R37" i="4"/>
  <c r="S37" i="4" s="1"/>
  <c r="O37" i="4"/>
  <c r="N37" i="4"/>
  <c r="M37" i="4"/>
  <c r="L37" i="4"/>
  <c r="J37" i="4"/>
  <c r="I37" i="4"/>
  <c r="K37" i="4" s="1"/>
  <c r="H37" i="4"/>
  <c r="Y36" i="4"/>
  <c r="X36" i="4"/>
  <c r="V36" i="4"/>
  <c r="W36" i="4" s="1"/>
  <c r="T36" i="4"/>
  <c r="U36" i="4" s="1"/>
  <c r="S36" i="4"/>
  <c r="R36" i="4"/>
  <c r="N36" i="4"/>
  <c r="P36" i="4" s="1"/>
  <c r="M36" i="4"/>
  <c r="L36" i="4"/>
  <c r="J36" i="4"/>
  <c r="I36" i="4"/>
  <c r="K36" i="4" s="1"/>
  <c r="H36" i="4"/>
  <c r="X35" i="4"/>
  <c r="Y35" i="4" s="1"/>
  <c r="V35" i="4"/>
  <c r="W35" i="4" s="1"/>
  <c r="T35" i="4"/>
  <c r="S35" i="4"/>
  <c r="R35" i="4"/>
  <c r="N35" i="4"/>
  <c r="M35" i="4"/>
  <c r="L35" i="4"/>
  <c r="H35" i="4"/>
  <c r="J35" i="4" s="1"/>
  <c r="X34" i="4"/>
  <c r="Y34" i="4" s="1"/>
  <c r="V34" i="4"/>
  <c r="U34" i="4"/>
  <c r="T34" i="4"/>
  <c r="R34" i="4"/>
  <c r="S34" i="4" s="1"/>
  <c r="O34" i="4"/>
  <c r="N34" i="4"/>
  <c r="M34" i="4"/>
  <c r="L34" i="4"/>
  <c r="H34" i="4"/>
  <c r="J34" i="4" s="1"/>
  <c r="X33" i="4"/>
  <c r="W33" i="4"/>
  <c r="V33" i="4"/>
  <c r="T33" i="4"/>
  <c r="U33" i="4" s="1"/>
  <c r="R33" i="4"/>
  <c r="S33" i="4" s="1"/>
  <c r="O33" i="4"/>
  <c r="N33" i="4"/>
  <c r="M33" i="4"/>
  <c r="L33" i="4"/>
  <c r="J33" i="4"/>
  <c r="I33" i="4"/>
  <c r="K33" i="4" s="1"/>
  <c r="H33" i="4"/>
  <c r="Y32" i="4"/>
  <c r="X32" i="4"/>
  <c r="V32" i="4"/>
  <c r="W32" i="4" s="1"/>
  <c r="T32" i="4"/>
  <c r="U32" i="4" s="1"/>
  <c r="S32" i="4"/>
  <c r="R32" i="4"/>
  <c r="N32" i="4"/>
  <c r="P32" i="4" s="1"/>
  <c r="M32" i="4"/>
  <c r="L32" i="4"/>
  <c r="J32" i="4"/>
  <c r="I32" i="4"/>
  <c r="K32" i="4" s="1"/>
  <c r="H32" i="4"/>
  <c r="X31" i="4"/>
  <c r="Y31" i="4" s="1"/>
  <c r="V31" i="4"/>
  <c r="W31" i="4" s="1"/>
  <c r="T31" i="4"/>
  <c r="S31" i="4"/>
  <c r="R31" i="4"/>
  <c r="N31" i="4"/>
  <c r="Q31" i="4" s="1"/>
  <c r="M31" i="4"/>
  <c r="L31" i="4"/>
  <c r="H31" i="4"/>
  <c r="J31" i="4" s="1"/>
  <c r="X30" i="4"/>
  <c r="Y30" i="4" s="1"/>
  <c r="W30" i="4"/>
  <c r="V30" i="4"/>
  <c r="U30" i="4"/>
  <c r="T30" i="4"/>
  <c r="R30" i="4"/>
  <c r="S30" i="4" s="1"/>
  <c r="P30" i="4"/>
  <c r="O30" i="4"/>
  <c r="N30" i="4"/>
  <c r="M30" i="4"/>
  <c r="L30" i="4"/>
  <c r="H30" i="4"/>
  <c r="J30" i="4" s="1"/>
  <c r="Y29" i="4"/>
  <c r="X29" i="4"/>
  <c r="W29" i="4"/>
  <c r="V29" i="4"/>
  <c r="T29" i="4"/>
  <c r="U29" i="4" s="1"/>
  <c r="R29" i="4"/>
  <c r="S29" i="4" s="1"/>
  <c r="O29" i="4"/>
  <c r="N29" i="4"/>
  <c r="M29" i="4"/>
  <c r="L29" i="4"/>
  <c r="J29" i="4"/>
  <c r="I29" i="4"/>
  <c r="H29" i="4"/>
  <c r="Y28" i="4"/>
  <c r="X28" i="4"/>
  <c r="V28" i="4"/>
  <c r="W28" i="4" s="1"/>
  <c r="T28" i="4"/>
  <c r="U28" i="4" s="1"/>
  <c r="R28" i="4"/>
  <c r="N28" i="4"/>
  <c r="P28" i="4" s="1"/>
  <c r="M28" i="4"/>
  <c r="L28" i="4"/>
  <c r="K28" i="4"/>
  <c r="J28" i="4"/>
  <c r="I28" i="4"/>
  <c r="H28" i="4"/>
  <c r="X27" i="4"/>
  <c r="Y27" i="4" s="1"/>
  <c r="V27" i="4"/>
  <c r="W27" i="4" s="1"/>
  <c r="T27" i="4"/>
  <c r="S27" i="4"/>
  <c r="R27" i="4"/>
  <c r="N27" i="4"/>
  <c r="M27" i="4"/>
  <c r="L27" i="4"/>
  <c r="H27" i="4"/>
  <c r="X26" i="4"/>
  <c r="Y26" i="4" s="1"/>
  <c r="W26" i="4"/>
  <c r="V26" i="4"/>
  <c r="U26" i="4"/>
  <c r="T26" i="4"/>
  <c r="R26" i="4"/>
  <c r="S26" i="4" s="1"/>
  <c r="O26" i="4"/>
  <c r="N26" i="4"/>
  <c r="M26" i="4"/>
  <c r="L26" i="4"/>
  <c r="J26" i="4"/>
  <c r="H26" i="4"/>
  <c r="I26" i="4" s="1"/>
  <c r="K26" i="4" s="1"/>
  <c r="X25" i="4"/>
  <c r="Y25" i="4" s="1"/>
  <c r="W25" i="4"/>
  <c r="V25" i="4"/>
  <c r="T25" i="4"/>
  <c r="U25" i="4" s="1"/>
  <c r="R25" i="4"/>
  <c r="N25" i="4"/>
  <c r="M25" i="4"/>
  <c r="L25" i="4"/>
  <c r="H25" i="4"/>
  <c r="J25" i="4" s="1"/>
  <c r="X24" i="4"/>
  <c r="V24" i="4"/>
  <c r="W24" i="4" s="1"/>
  <c r="T24" i="4"/>
  <c r="U24" i="4" s="1"/>
  <c r="R24" i="4"/>
  <c r="S24" i="4" s="1"/>
  <c r="N24" i="4"/>
  <c r="M24" i="4"/>
  <c r="L24" i="4"/>
  <c r="J24" i="4"/>
  <c r="K24" i="4" s="1"/>
  <c r="I24" i="4"/>
  <c r="H24" i="4"/>
  <c r="X23" i="4"/>
  <c r="Y23" i="4" s="1"/>
  <c r="V23" i="4"/>
  <c r="W23" i="4" s="1"/>
  <c r="U23" i="4"/>
  <c r="T23" i="4"/>
  <c r="U22" i="4" s="1"/>
  <c r="S23" i="4"/>
  <c r="R23" i="4"/>
  <c r="N23" i="4"/>
  <c r="M23" i="4"/>
  <c r="L23" i="4"/>
  <c r="H23" i="4"/>
  <c r="X22" i="4"/>
  <c r="Y22" i="4" s="1"/>
  <c r="V22" i="4"/>
  <c r="W22" i="4" s="1"/>
  <c r="T22" i="4"/>
  <c r="R22" i="4"/>
  <c r="S22" i="4" s="1"/>
  <c r="N22" i="4"/>
  <c r="P22" i="4" s="1"/>
  <c r="M22" i="4"/>
  <c r="L22" i="4"/>
  <c r="J22" i="4"/>
  <c r="H22" i="4"/>
  <c r="I22" i="4" s="1"/>
  <c r="K22" i="4" s="1"/>
  <c r="X21" i="4"/>
  <c r="Y21" i="4" s="1"/>
  <c r="V21" i="4"/>
  <c r="T21" i="4"/>
  <c r="U21" i="4" s="1"/>
  <c r="S21" i="4"/>
  <c r="R21" i="4"/>
  <c r="N21" i="4"/>
  <c r="M21" i="4"/>
  <c r="L21" i="4"/>
  <c r="K21" i="4"/>
  <c r="J21" i="4"/>
  <c r="I21" i="4"/>
  <c r="H21" i="4"/>
  <c r="Y20" i="4"/>
  <c r="X20" i="4"/>
  <c r="V20" i="4"/>
  <c r="W20" i="4" s="1"/>
  <c r="T20" i="4"/>
  <c r="U20" i="4" s="1"/>
  <c r="R20" i="4"/>
  <c r="S20" i="4" s="1"/>
  <c r="N20" i="4"/>
  <c r="M20" i="4"/>
  <c r="L20" i="4"/>
  <c r="J20" i="4"/>
  <c r="I20" i="4"/>
  <c r="K20" i="4" s="1"/>
  <c r="H20" i="4"/>
  <c r="X19" i="4"/>
  <c r="Y19" i="4" s="1"/>
  <c r="V19" i="4"/>
  <c r="W19" i="4" s="1"/>
  <c r="T19" i="4"/>
  <c r="U19" i="4" s="1"/>
  <c r="S19" i="4"/>
  <c r="R19" i="4"/>
  <c r="P19" i="4"/>
  <c r="N19" i="4"/>
  <c r="M19" i="4"/>
  <c r="L19" i="4"/>
  <c r="H19" i="4"/>
  <c r="X18" i="4"/>
  <c r="Y18" i="4" s="1"/>
  <c r="V18" i="4"/>
  <c r="W18" i="4" s="1"/>
  <c r="T18" i="4"/>
  <c r="U18" i="4" s="1"/>
  <c r="R18" i="4"/>
  <c r="S18" i="4" s="1"/>
  <c r="Q18" i="4"/>
  <c r="P18" i="4"/>
  <c r="O18" i="4"/>
  <c r="N18" i="4"/>
  <c r="M18" i="4"/>
  <c r="L18" i="4"/>
  <c r="I18" i="4"/>
  <c r="H18" i="4"/>
  <c r="J18" i="4" s="1"/>
  <c r="Y17" i="4"/>
  <c r="X17" i="4"/>
  <c r="W17" i="4"/>
  <c r="V17" i="4"/>
  <c r="T17" i="4"/>
  <c r="U17" i="4" s="1"/>
  <c r="S17" i="4"/>
  <c r="R17" i="4"/>
  <c r="O17" i="4"/>
  <c r="N17" i="4"/>
  <c r="P17" i="4" s="1"/>
  <c r="M17" i="4"/>
  <c r="L17" i="4"/>
  <c r="K17" i="4"/>
  <c r="J17" i="4"/>
  <c r="I17" i="4"/>
  <c r="H17" i="4"/>
  <c r="Y16" i="4"/>
  <c r="X16" i="4"/>
  <c r="V16" i="4"/>
  <c r="W16" i="4" s="1"/>
  <c r="U16" i="4"/>
  <c r="T16" i="4"/>
  <c r="S16" i="4"/>
  <c r="R16" i="4"/>
  <c r="N16" i="4"/>
  <c r="Q16" i="4" s="1"/>
  <c r="M16" i="4"/>
  <c r="L16" i="4"/>
  <c r="I16" i="4"/>
  <c r="H16" i="4"/>
  <c r="J16" i="4" s="1"/>
  <c r="K16" i="4" s="1"/>
  <c r="X15" i="4"/>
  <c r="Y15" i="4" s="1"/>
  <c r="W15" i="4"/>
  <c r="V15" i="4"/>
  <c r="U15" i="4"/>
  <c r="T15" i="4"/>
  <c r="S15" i="4"/>
  <c r="R15" i="4"/>
  <c r="O15" i="4"/>
  <c r="N15" i="4"/>
  <c r="Q15" i="4" s="1"/>
  <c r="M15" i="4"/>
  <c r="L15" i="4"/>
  <c r="H15" i="4"/>
  <c r="J15" i="4" s="1"/>
  <c r="Y14" i="4"/>
  <c r="X14" i="4"/>
  <c r="W14" i="4"/>
  <c r="V14" i="4"/>
  <c r="T14" i="4"/>
  <c r="U14" i="4" s="1"/>
  <c r="R14" i="4"/>
  <c r="S14" i="4" s="1"/>
  <c r="Q14" i="4"/>
  <c r="P14" i="4"/>
  <c r="O14" i="4"/>
  <c r="N14" i="4"/>
  <c r="M14" i="4"/>
  <c r="L14" i="4"/>
  <c r="I14" i="4"/>
  <c r="H14" i="4"/>
  <c r="J14" i="4" s="1"/>
  <c r="Y13" i="4"/>
  <c r="X13" i="4"/>
  <c r="V13" i="4"/>
  <c r="W13" i="4" s="1"/>
  <c r="T13" i="4"/>
  <c r="U13" i="4" s="1"/>
  <c r="S13" i="4"/>
  <c r="R13" i="4"/>
  <c r="N13" i="4"/>
  <c r="P13" i="4" s="1"/>
  <c r="M13" i="4"/>
  <c r="L13" i="4"/>
  <c r="K13" i="4"/>
  <c r="J13" i="4"/>
  <c r="I13" i="4"/>
  <c r="H13" i="4"/>
  <c r="X12" i="4"/>
  <c r="Y12" i="4" s="1"/>
  <c r="V12" i="4"/>
  <c r="W12" i="4" s="1"/>
  <c r="U12" i="4"/>
  <c r="T12" i="4"/>
  <c r="S12" i="4"/>
  <c r="R12" i="4"/>
  <c r="N12" i="4"/>
  <c r="Q12" i="4" s="1"/>
  <c r="M12" i="4"/>
  <c r="L12" i="4"/>
  <c r="H12" i="4"/>
  <c r="J12" i="4" s="1"/>
  <c r="X11" i="4"/>
  <c r="Y11" i="4" s="1"/>
  <c r="W11" i="4"/>
  <c r="V11" i="4"/>
  <c r="U11" i="4"/>
  <c r="T11" i="4"/>
  <c r="R11" i="4"/>
  <c r="S11" i="4" s="1"/>
  <c r="O11" i="4"/>
  <c r="N11" i="4"/>
  <c r="Q11" i="4" s="1"/>
  <c r="M11" i="4"/>
  <c r="L11" i="4"/>
  <c r="H11" i="4"/>
  <c r="J11" i="4" s="1"/>
  <c r="Y10" i="4"/>
  <c r="X10" i="4"/>
  <c r="W10" i="4"/>
  <c r="V10" i="4"/>
  <c r="T10" i="4"/>
  <c r="U10" i="4" s="1"/>
  <c r="R10" i="4"/>
  <c r="S10" i="4" s="1"/>
  <c r="Q10" i="4"/>
  <c r="P10" i="4"/>
  <c r="O10" i="4"/>
  <c r="N10" i="4"/>
  <c r="M10" i="4"/>
  <c r="L10" i="4"/>
  <c r="I10" i="4"/>
  <c r="H10" i="4"/>
  <c r="J10" i="4" s="1"/>
  <c r="Y9" i="4"/>
  <c r="X9" i="4"/>
  <c r="V9" i="4"/>
  <c r="W9" i="4" s="1"/>
  <c r="T9" i="4"/>
  <c r="U9" i="4" s="1"/>
  <c r="S9" i="4"/>
  <c r="R9" i="4"/>
  <c r="N9" i="4"/>
  <c r="P9" i="4" s="1"/>
  <c r="M9" i="4"/>
  <c r="L9" i="4"/>
  <c r="K9" i="4"/>
  <c r="J9" i="4"/>
  <c r="I9" i="4"/>
  <c r="H9" i="4"/>
  <c r="X8" i="4"/>
  <c r="Y8" i="4" s="1"/>
  <c r="V8" i="4"/>
  <c r="W8" i="4" s="1"/>
  <c r="U8" i="4"/>
  <c r="T8" i="4"/>
  <c r="S8" i="4"/>
  <c r="R8" i="4"/>
  <c r="N8" i="4"/>
  <c r="Q8" i="4" s="1"/>
  <c r="M8" i="4"/>
  <c r="L8" i="4"/>
  <c r="H8" i="4"/>
  <c r="J8" i="4" s="1"/>
  <c r="X7" i="4"/>
  <c r="Y7" i="4" s="1"/>
  <c r="W7" i="4"/>
  <c r="V7" i="4"/>
  <c r="U7" i="4"/>
  <c r="T7" i="4"/>
  <c r="R7" i="4"/>
  <c r="S7" i="4" s="1"/>
  <c r="O7" i="4"/>
  <c r="N7" i="4"/>
  <c r="Q7" i="4" s="1"/>
  <c r="M7" i="4"/>
  <c r="L7" i="4"/>
  <c r="H7" i="4"/>
  <c r="J7" i="4" s="1"/>
  <c r="Y6" i="4"/>
  <c r="X6" i="4"/>
  <c r="W6" i="4"/>
  <c r="V6" i="4"/>
  <c r="T6" i="4"/>
  <c r="U6" i="4" s="1"/>
  <c r="R6" i="4"/>
  <c r="S6" i="4" s="1"/>
  <c r="Q6" i="4"/>
  <c r="P6" i="4"/>
  <c r="O6" i="4"/>
  <c r="N6" i="4"/>
  <c r="M6" i="4"/>
  <c r="L6" i="4"/>
  <c r="I6" i="4"/>
  <c r="H6" i="4"/>
  <c r="J6" i="4" s="1"/>
  <c r="Y5" i="4"/>
  <c r="X5" i="4"/>
  <c r="V5" i="4"/>
  <c r="W5" i="4" s="1"/>
  <c r="T5" i="4"/>
  <c r="U5" i="4" s="1"/>
  <c r="S5" i="4"/>
  <c r="R5" i="4"/>
  <c r="N5" i="4"/>
  <c r="P5" i="4" s="1"/>
  <c r="M5" i="4"/>
  <c r="L5" i="4"/>
  <c r="K5" i="4"/>
  <c r="J5" i="4"/>
  <c r="I5" i="4"/>
  <c r="H5" i="4"/>
  <c r="X4" i="4"/>
  <c r="Y4" i="4" s="1"/>
  <c r="V4" i="4"/>
  <c r="W4" i="4" s="1"/>
  <c r="U4" i="4"/>
  <c r="T4" i="4"/>
  <c r="S4" i="4"/>
  <c r="R4" i="4"/>
  <c r="N4" i="4"/>
  <c r="Q4" i="4" s="1"/>
  <c r="M4" i="4"/>
  <c r="L4" i="4"/>
  <c r="H4" i="4"/>
  <c r="J4" i="4" s="1"/>
  <c r="X3" i="4"/>
  <c r="Y3" i="4" s="1"/>
  <c r="W3" i="4"/>
  <c r="V3" i="4"/>
  <c r="U3" i="4"/>
  <c r="T3" i="4"/>
  <c r="R3" i="4"/>
  <c r="S3" i="4" s="1"/>
  <c r="O3" i="4"/>
  <c r="N3" i="4"/>
  <c r="Q3" i="4" s="1"/>
  <c r="M3" i="4"/>
  <c r="L3" i="4"/>
  <c r="H3" i="4"/>
  <c r="J3" i="4" s="1"/>
  <c r="Y2" i="4"/>
  <c r="X2" i="4"/>
  <c r="W2" i="4"/>
  <c r="V2" i="4"/>
  <c r="T2" i="4"/>
  <c r="U2" i="4" s="1"/>
  <c r="R2" i="4"/>
  <c r="S2" i="4" s="1"/>
  <c r="Q2" i="4"/>
  <c r="P2" i="4"/>
  <c r="O2" i="4"/>
  <c r="N2" i="4"/>
  <c r="M2" i="4"/>
  <c r="L2" i="4"/>
  <c r="I2" i="4"/>
  <c r="K2" i="4" s="1"/>
  <c r="H2" i="4"/>
  <c r="J2" i="4" s="1"/>
  <c r="U269" i="3"/>
  <c r="T269" i="3"/>
  <c r="S269" i="3"/>
  <c r="R269" i="3"/>
  <c r="P269" i="3"/>
  <c r="O269" i="3"/>
  <c r="T268" i="3"/>
  <c r="S268" i="3"/>
  <c r="R268" i="3"/>
  <c r="P268" i="3"/>
  <c r="O268" i="3"/>
  <c r="T267" i="3"/>
  <c r="R267" i="3"/>
  <c r="P267" i="3"/>
  <c r="O267" i="3"/>
  <c r="U266" i="3"/>
  <c r="T266" i="3"/>
  <c r="R266" i="3"/>
  <c r="P266" i="3"/>
  <c r="O266" i="3"/>
  <c r="U265" i="3"/>
  <c r="T265" i="3"/>
  <c r="S265" i="3"/>
  <c r="R265" i="3"/>
  <c r="P265" i="3"/>
  <c r="O265" i="3"/>
  <c r="T264" i="3"/>
  <c r="S264" i="3"/>
  <c r="R264" i="3"/>
  <c r="P264" i="3"/>
  <c r="O264" i="3"/>
  <c r="T263" i="3"/>
  <c r="R263" i="3"/>
  <c r="P263" i="3"/>
  <c r="O263" i="3"/>
  <c r="U262" i="3"/>
  <c r="T262" i="3"/>
  <c r="R262" i="3"/>
  <c r="P262" i="3"/>
  <c r="O262" i="3"/>
  <c r="U261" i="3"/>
  <c r="T261" i="3"/>
  <c r="S261" i="3"/>
  <c r="R261" i="3"/>
  <c r="P261" i="3"/>
  <c r="O261" i="3"/>
  <c r="T260" i="3"/>
  <c r="S260" i="3"/>
  <c r="R260" i="3"/>
  <c r="P260" i="3"/>
  <c r="O260" i="3"/>
  <c r="T259" i="3"/>
  <c r="R259" i="3"/>
  <c r="P259" i="3"/>
  <c r="O259" i="3"/>
  <c r="U258" i="3"/>
  <c r="T258" i="3"/>
  <c r="R258" i="3"/>
  <c r="P258" i="3"/>
  <c r="O258" i="3"/>
  <c r="U257" i="3"/>
  <c r="T257" i="3"/>
  <c r="S257" i="3"/>
  <c r="R257" i="3"/>
  <c r="P257" i="3"/>
  <c r="O257" i="3"/>
  <c r="T256" i="3"/>
  <c r="S256" i="3"/>
  <c r="R256" i="3"/>
  <c r="P256" i="3"/>
  <c r="O256" i="3"/>
  <c r="T255" i="3"/>
  <c r="R255" i="3"/>
  <c r="P255" i="3"/>
  <c r="O255" i="3"/>
  <c r="U254" i="3"/>
  <c r="T254" i="3"/>
  <c r="R254" i="3"/>
  <c r="P254" i="3"/>
  <c r="O254" i="3"/>
  <c r="U253" i="3"/>
  <c r="T253" i="3"/>
  <c r="S253" i="3"/>
  <c r="R253" i="3"/>
  <c r="P253" i="3"/>
  <c r="O253" i="3"/>
  <c r="T252" i="3"/>
  <c r="S252" i="3"/>
  <c r="R252" i="3"/>
  <c r="P252" i="3"/>
  <c r="O252" i="3"/>
  <c r="T251" i="3"/>
  <c r="R251" i="3"/>
  <c r="P251" i="3"/>
  <c r="O251" i="3"/>
  <c r="U250" i="3"/>
  <c r="T250" i="3"/>
  <c r="R250" i="3"/>
  <c r="P250" i="3"/>
  <c r="O250" i="3"/>
  <c r="U249" i="3"/>
  <c r="T249" i="3"/>
  <c r="S249" i="3"/>
  <c r="R249" i="3"/>
  <c r="P249" i="3"/>
  <c r="O249" i="3"/>
  <c r="T248" i="3"/>
  <c r="S248" i="3"/>
  <c r="R248" i="3"/>
  <c r="P248" i="3"/>
  <c r="O248" i="3"/>
  <c r="T247" i="3"/>
  <c r="R247" i="3"/>
  <c r="P247" i="3"/>
  <c r="O247" i="3"/>
  <c r="U246" i="3"/>
  <c r="T246" i="3"/>
  <c r="R246" i="3"/>
  <c r="P246" i="3"/>
  <c r="O246" i="3"/>
  <c r="U245" i="3"/>
  <c r="T245" i="3"/>
  <c r="S245" i="3"/>
  <c r="R245" i="3"/>
  <c r="P245" i="3"/>
  <c r="O245" i="3"/>
  <c r="T244" i="3"/>
  <c r="S244" i="3"/>
  <c r="R244" i="3"/>
  <c r="P244" i="3"/>
  <c r="O244" i="3"/>
  <c r="T243" i="3"/>
  <c r="R243" i="3"/>
  <c r="P243" i="3"/>
  <c r="O243" i="3"/>
  <c r="U242" i="3"/>
  <c r="T242" i="3"/>
  <c r="R242" i="3"/>
  <c r="P242" i="3"/>
  <c r="O242" i="3"/>
  <c r="U241" i="3"/>
  <c r="T241" i="3"/>
  <c r="S241" i="3"/>
  <c r="R241" i="3"/>
  <c r="P241" i="3"/>
  <c r="O241" i="3"/>
  <c r="T240" i="3"/>
  <c r="S240" i="3"/>
  <c r="R240" i="3"/>
  <c r="P240" i="3"/>
  <c r="O240" i="3"/>
  <c r="T239" i="3"/>
  <c r="R239" i="3"/>
  <c r="P239" i="3"/>
  <c r="O239" i="3"/>
  <c r="U238" i="3"/>
  <c r="T238" i="3"/>
  <c r="R238" i="3"/>
  <c r="P238" i="3"/>
  <c r="O238" i="3"/>
  <c r="U237" i="3"/>
  <c r="T237" i="3"/>
  <c r="S237" i="3"/>
  <c r="R237" i="3"/>
  <c r="P237" i="3"/>
  <c r="O237" i="3"/>
  <c r="T236" i="3"/>
  <c r="S236" i="3"/>
  <c r="R236" i="3"/>
  <c r="P236" i="3"/>
  <c r="O236" i="3"/>
  <c r="T235" i="3"/>
  <c r="R235" i="3"/>
  <c r="P235" i="3"/>
  <c r="O235" i="3"/>
  <c r="U234" i="3"/>
  <c r="T234" i="3"/>
  <c r="R234" i="3"/>
  <c r="P234" i="3"/>
  <c r="O234" i="3"/>
  <c r="U233" i="3"/>
  <c r="T233" i="3"/>
  <c r="S233" i="3"/>
  <c r="R233" i="3"/>
  <c r="P233" i="3"/>
  <c r="O233" i="3"/>
  <c r="T232" i="3"/>
  <c r="S232" i="3"/>
  <c r="R232" i="3"/>
  <c r="P232" i="3"/>
  <c r="O232" i="3"/>
  <c r="T231" i="3"/>
  <c r="R231" i="3"/>
  <c r="P231" i="3"/>
  <c r="O231" i="3"/>
  <c r="U230" i="3"/>
  <c r="T230" i="3"/>
  <c r="R230" i="3"/>
  <c r="P230" i="3"/>
  <c r="O230" i="3"/>
  <c r="U229" i="3"/>
  <c r="T229" i="3"/>
  <c r="S229" i="3"/>
  <c r="R229" i="3"/>
  <c r="P229" i="3"/>
  <c r="O229" i="3"/>
  <c r="T228" i="3"/>
  <c r="S228" i="3"/>
  <c r="R228" i="3"/>
  <c r="P228" i="3"/>
  <c r="O228" i="3"/>
  <c r="T227" i="3"/>
  <c r="R227" i="3"/>
  <c r="P227" i="3"/>
  <c r="O227" i="3"/>
  <c r="U226" i="3"/>
  <c r="T226" i="3"/>
  <c r="R226" i="3"/>
  <c r="P226" i="3"/>
  <c r="O226" i="3"/>
  <c r="U225" i="3"/>
  <c r="T225" i="3"/>
  <c r="S225" i="3"/>
  <c r="R225" i="3"/>
  <c r="P225" i="3"/>
  <c r="O225" i="3"/>
  <c r="T224" i="3"/>
  <c r="S224" i="3"/>
  <c r="R224" i="3"/>
  <c r="P224" i="3"/>
  <c r="O224" i="3"/>
  <c r="T223" i="3"/>
  <c r="R223" i="3"/>
  <c r="P223" i="3"/>
  <c r="O223" i="3"/>
  <c r="U222" i="3"/>
  <c r="T222" i="3"/>
  <c r="R222" i="3"/>
  <c r="P222" i="3"/>
  <c r="O222" i="3"/>
  <c r="U221" i="3"/>
  <c r="T221" i="3"/>
  <c r="S221" i="3"/>
  <c r="R221" i="3"/>
  <c r="P221" i="3"/>
  <c r="O221" i="3"/>
  <c r="T220" i="3"/>
  <c r="S220" i="3"/>
  <c r="R220" i="3"/>
  <c r="P220" i="3"/>
  <c r="O220" i="3"/>
  <c r="T219" i="3"/>
  <c r="R219" i="3"/>
  <c r="P219" i="3"/>
  <c r="O219" i="3"/>
  <c r="U218" i="3"/>
  <c r="T218" i="3"/>
  <c r="R218" i="3"/>
  <c r="P218" i="3"/>
  <c r="O218" i="3"/>
  <c r="U217" i="3"/>
  <c r="T217" i="3"/>
  <c r="S217" i="3"/>
  <c r="R217" i="3"/>
  <c r="P217" i="3"/>
  <c r="O217" i="3"/>
  <c r="T216" i="3"/>
  <c r="S216" i="3"/>
  <c r="R216" i="3"/>
  <c r="P216" i="3"/>
  <c r="O216" i="3"/>
  <c r="T215" i="3"/>
  <c r="R215" i="3"/>
  <c r="P215" i="3"/>
  <c r="O215" i="3"/>
  <c r="U214" i="3"/>
  <c r="T214" i="3"/>
  <c r="R214" i="3"/>
  <c r="P214" i="3"/>
  <c r="O214" i="3"/>
  <c r="U213" i="3"/>
  <c r="T213" i="3"/>
  <c r="S213" i="3"/>
  <c r="R213" i="3"/>
  <c r="P213" i="3"/>
  <c r="O213" i="3"/>
  <c r="T212" i="3"/>
  <c r="S212" i="3"/>
  <c r="R212" i="3"/>
  <c r="P212" i="3"/>
  <c r="O212" i="3"/>
  <c r="T211" i="3"/>
  <c r="R211" i="3"/>
  <c r="P211" i="3"/>
  <c r="O211" i="3"/>
  <c r="U210" i="3"/>
  <c r="T210" i="3"/>
  <c r="R210" i="3"/>
  <c r="P210" i="3"/>
  <c r="O210" i="3"/>
  <c r="U209" i="3"/>
  <c r="T209" i="3"/>
  <c r="S209" i="3"/>
  <c r="R209" i="3"/>
  <c r="P209" i="3"/>
  <c r="O209" i="3"/>
  <c r="T208" i="3"/>
  <c r="S208" i="3"/>
  <c r="R208" i="3"/>
  <c r="P208" i="3"/>
  <c r="O208" i="3"/>
  <c r="T207" i="3"/>
  <c r="R207" i="3"/>
  <c r="P207" i="3"/>
  <c r="O207" i="3"/>
  <c r="U206" i="3"/>
  <c r="T206" i="3"/>
  <c r="R206" i="3"/>
  <c r="P206" i="3"/>
  <c r="O206" i="3"/>
  <c r="U205" i="3"/>
  <c r="T205" i="3"/>
  <c r="S205" i="3"/>
  <c r="R205" i="3"/>
  <c r="P205" i="3"/>
  <c r="O205" i="3"/>
  <c r="T204" i="3"/>
  <c r="S204" i="3"/>
  <c r="R204" i="3"/>
  <c r="P204" i="3"/>
  <c r="O204" i="3"/>
  <c r="T203" i="3"/>
  <c r="R203" i="3"/>
  <c r="P203" i="3"/>
  <c r="O203" i="3"/>
  <c r="U202" i="3"/>
  <c r="T202" i="3"/>
  <c r="R202" i="3"/>
  <c r="P202" i="3"/>
  <c r="O202" i="3"/>
  <c r="X201" i="3"/>
  <c r="V201" i="3"/>
  <c r="W201" i="3" s="1"/>
  <c r="T201" i="3"/>
  <c r="U201" i="3" s="1"/>
  <c r="R201" i="3"/>
  <c r="S201" i="3" s="1"/>
  <c r="Q201" i="3"/>
  <c r="N201" i="3"/>
  <c r="P201" i="3" s="1"/>
  <c r="M201" i="3"/>
  <c r="L201" i="3"/>
  <c r="J201" i="3"/>
  <c r="I201" i="3"/>
  <c r="K201" i="3" s="1"/>
  <c r="H201" i="3"/>
  <c r="X200" i="3"/>
  <c r="W200" i="3"/>
  <c r="V200" i="3"/>
  <c r="U200" i="3"/>
  <c r="T200" i="3"/>
  <c r="R200" i="3"/>
  <c r="S200" i="3" s="1"/>
  <c r="O200" i="3"/>
  <c r="N200" i="3"/>
  <c r="P200" i="3" s="1"/>
  <c r="M200" i="3"/>
  <c r="L200" i="3"/>
  <c r="J200" i="3"/>
  <c r="K200" i="3" s="1"/>
  <c r="I200" i="3"/>
  <c r="H200" i="3"/>
  <c r="X199" i="3"/>
  <c r="V199" i="3"/>
  <c r="W199" i="3" s="1"/>
  <c r="T199" i="3"/>
  <c r="U199" i="3" s="1"/>
  <c r="S199" i="3"/>
  <c r="R199" i="3"/>
  <c r="P199" i="3"/>
  <c r="N199" i="3"/>
  <c r="Q199" i="3" s="1"/>
  <c r="M199" i="3"/>
  <c r="L199" i="3"/>
  <c r="H199" i="3"/>
  <c r="J199" i="3" s="1"/>
  <c r="X198" i="3"/>
  <c r="W198" i="3"/>
  <c r="V198" i="3"/>
  <c r="T198" i="3"/>
  <c r="U198" i="3" s="1"/>
  <c r="S198" i="3"/>
  <c r="R198" i="3"/>
  <c r="Q198" i="3"/>
  <c r="O198" i="3"/>
  <c r="N198" i="3"/>
  <c r="M198" i="3"/>
  <c r="L198" i="3"/>
  <c r="J198" i="3"/>
  <c r="I198" i="3"/>
  <c r="K198" i="3" s="1"/>
  <c r="H198" i="3"/>
  <c r="X197" i="3"/>
  <c r="V197" i="3"/>
  <c r="W197" i="3" s="1"/>
  <c r="U197" i="3"/>
  <c r="T197" i="3"/>
  <c r="R197" i="3"/>
  <c r="S197" i="3" s="1"/>
  <c r="N197" i="3"/>
  <c r="Q197" i="3" s="1"/>
  <c r="M197" i="3"/>
  <c r="L197" i="3"/>
  <c r="J197" i="3"/>
  <c r="H197" i="3"/>
  <c r="I197" i="3" s="1"/>
  <c r="K197" i="3" s="1"/>
  <c r="X196" i="3"/>
  <c r="V196" i="3"/>
  <c r="W196" i="3" s="1"/>
  <c r="U196" i="3"/>
  <c r="T196" i="3"/>
  <c r="S196" i="3"/>
  <c r="R196" i="3"/>
  <c r="N196" i="3"/>
  <c r="Q193" i="3" s="1"/>
  <c r="M196" i="3"/>
  <c r="L196" i="3"/>
  <c r="K196" i="3"/>
  <c r="J196" i="3"/>
  <c r="I196" i="3"/>
  <c r="H196" i="3"/>
  <c r="X195" i="3"/>
  <c r="W195" i="3"/>
  <c r="V195" i="3"/>
  <c r="T195" i="3"/>
  <c r="U195" i="3" s="1"/>
  <c r="R195" i="3"/>
  <c r="S195" i="3" s="1"/>
  <c r="N195" i="3"/>
  <c r="M195" i="3"/>
  <c r="L195" i="3"/>
  <c r="H195" i="3"/>
  <c r="J195" i="3" s="1"/>
  <c r="X194" i="3"/>
  <c r="W194" i="3"/>
  <c r="V194" i="3"/>
  <c r="U194" i="3"/>
  <c r="T194" i="3"/>
  <c r="S194" i="3"/>
  <c r="R194" i="3"/>
  <c r="P194" i="3"/>
  <c r="N194" i="3"/>
  <c r="M194" i="3"/>
  <c r="L194" i="3"/>
  <c r="H194" i="3"/>
  <c r="X193" i="3"/>
  <c r="V193" i="3"/>
  <c r="W193" i="3" s="1"/>
  <c r="T193" i="3"/>
  <c r="U193" i="3" s="1"/>
  <c r="R193" i="3"/>
  <c r="S193" i="3" s="1"/>
  <c r="N193" i="3"/>
  <c r="P193" i="3" s="1"/>
  <c r="M193" i="3"/>
  <c r="L193" i="3"/>
  <c r="J193" i="3"/>
  <c r="I193" i="3"/>
  <c r="K193" i="3" s="1"/>
  <c r="H193" i="3"/>
  <c r="X192" i="3"/>
  <c r="W192" i="3"/>
  <c r="V192" i="3"/>
  <c r="U192" i="3"/>
  <c r="T192" i="3"/>
  <c r="R192" i="3"/>
  <c r="S192" i="3" s="1"/>
  <c r="N192" i="3"/>
  <c r="M192" i="3"/>
  <c r="L192" i="3"/>
  <c r="J192" i="3"/>
  <c r="K192" i="3" s="1"/>
  <c r="I192" i="3"/>
  <c r="H192" i="3"/>
  <c r="X191" i="3"/>
  <c r="V191" i="3"/>
  <c r="W191" i="3" s="1"/>
  <c r="T191" i="3"/>
  <c r="U191" i="3" s="1"/>
  <c r="S191" i="3"/>
  <c r="R191" i="3"/>
  <c r="N191" i="3"/>
  <c r="M191" i="3"/>
  <c r="L191" i="3"/>
  <c r="H191" i="3"/>
  <c r="J191" i="3" s="1"/>
  <c r="X190" i="3"/>
  <c r="W190" i="3"/>
  <c r="V190" i="3"/>
  <c r="T190" i="3"/>
  <c r="U190" i="3" s="1"/>
  <c r="S190" i="3"/>
  <c r="R190" i="3"/>
  <c r="O190" i="3"/>
  <c r="N190" i="3"/>
  <c r="M190" i="3"/>
  <c r="L190" i="3"/>
  <c r="J190" i="3"/>
  <c r="I190" i="3"/>
  <c r="K190" i="3" s="1"/>
  <c r="H190" i="3"/>
  <c r="X189" i="3"/>
  <c r="V189" i="3"/>
  <c r="W189" i="3" s="1"/>
  <c r="T189" i="3"/>
  <c r="R189" i="3"/>
  <c r="S189" i="3" s="1"/>
  <c r="N189" i="3"/>
  <c r="Q189" i="3" s="1"/>
  <c r="M189" i="3"/>
  <c r="L189" i="3"/>
  <c r="J189" i="3"/>
  <c r="H189" i="3"/>
  <c r="I189" i="3" s="1"/>
  <c r="K189" i="3" s="1"/>
  <c r="X188" i="3"/>
  <c r="V188" i="3"/>
  <c r="W188" i="3" s="1"/>
  <c r="U188" i="3"/>
  <c r="T188" i="3"/>
  <c r="S188" i="3"/>
  <c r="R188" i="3"/>
  <c r="N188" i="3"/>
  <c r="Q177" i="3" s="1"/>
  <c r="M188" i="3"/>
  <c r="L188" i="3"/>
  <c r="K188" i="3"/>
  <c r="J188" i="3"/>
  <c r="I188" i="3"/>
  <c r="H188" i="3"/>
  <c r="X187" i="3"/>
  <c r="W187" i="3"/>
  <c r="V187" i="3"/>
  <c r="T187" i="3"/>
  <c r="U187" i="3" s="1"/>
  <c r="R187" i="3"/>
  <c r="S187" i="3" s="1"/>
  <c r="O187" i="3"/>
  <c r="N187" i="3"/>
  <c r="Q187" i="3" s="1"/>
  <c r="M187" i="3"/>
  <c r="L187" i="3"/>
  <c r="H187" i="3"/>
  <c r="J187" i="3" s="1"/>
  <c r="X186" i="3"/>
  <c r="W186" i="3"/>
  <c r="V186" i="3"/>
  <c r="U186" i="3"/>
  <c r="T186" i="3"/>
  <c r="S186" i="3"/>
  <c r="R186" i="3"/>
  <c r="P186" i="3"/>
  <c r="N186" i="3"/>
  <c r="M186" i="3"/>
  <c r="L186" i="3"/>
  <c r="H186" i="3"/>
  <c r="X185" i="3"/>
  <c r="V185" i="3"/>
  <c r="W185" i="3" s="1"/>
  <c r="T185" i="3"/>
  <c r="U185" i="3" s="1"/>
  <c r="R185" i="3"/>
  <c r="S185" i="3" s="1"/>
  <c r="Q185" i="3"/>
  <c r="N185" i="3"/>
  <c r="M185" i="3"/>
  <c r="L185" i="3"/>
  <c r="J185" i="3"/>
  <c r="I185" i="3"/>
  <c r="K185" i="3" s="1"/>
  <c r="H185" i="3"/>
  <c r="X184" i="3"/>
  <c r="W184" i="3"/>
  <c r="V184" i="3"/>
  <c r="U184" i="3"/>
  <c r="T184" i="3"/>
  <c r="R184" i="3"/>
  <c r="S184" i="3" s="1"/>
  <c r="N184" i="3"/>
  <c r="M184" i="3"/>
  <c r="L184" i="3"/>
  <c r="J184" i="3"/>
  <c r="K184" i="3" s="1"/>
  <c r="I184" i="3"/>
  <c r="H184" i="3"/>
  <c r="X183" i="3"/>
  <c r="V183" i="3"/>
  <c r="W183" i="3" s="1"/>
  <c r="T183" i="3"/>
  <c r="U183" i="3" s="1"/>
  <c r="S183" i="3"/>
  <c r="R183" i="3"/>
  <c r="N183" i="3"/>
  <c r="Q183" i="3" s="1"/>
  <c r="M183" i="3"/>
  <c r="L183" i="3"/>
  <c r="H183" i="3"/>
  <c r="J183" i="3" s="1"/>
  <c r="X182" i="3"/>
  <c r="W182" i="3"/>
  <c r="V182" i="3"/>
  <c r="T182" i="3"/>
  <c r="U182" i="3" s="1"/>
  <c r="S182" i="3"/>
  <c r="R182" i="3"/>
  <c r="N182" i="3"/>
  <c r="M182" i="3"/>
  <c r="L182" i="3"/>
  <c r="J182" i="3"/>
  <c r="I182" i="3"/>
  <c r="K182" i="3" s="1"/>
  <c r="H182" i="3"/>
  <c r="X181" i="3"/>
  <c r="V181" i="3"/>
  <c r="W181" i="3" s="1"/>
  <c r="U181" i="3"/>
  <c r="T181" i="3"/>
  <c r="R181" i="3"/>
  <c r="S181" i="3" s="1"/>
  <c r="N181" i="3"/>
  <c r="Q181" i="3" s="1"/>
  <c r="M181" i="3"/>
  <c r="L181" i="3"/>
  <c r="J181" i="3"/>
  <c r="H181" i="3"/>
  <c r="I181" i="3" s="1"/>
  <c r="K181" i="3" s="1"/>
  <c r="X180" i="3"/>
  <c r="V180" i="3"/>
  <c r="W180" i="3" s="1"/>
  <c r="U180" i="3"/>
  <c r="T180" i="3"/>
  <c r="S180" i="3"/>
  <c r="R180" i="3"/>
  <c r="N180" i="3"/>
  <c r="M180" i="3"/>
  <c r="L180" i="3"/>
  <c r="K180" i="3"/>
  <c r="J180" i="3"/>
  <c r="I180" i="3"/>
  <c r="H180" i="3"/>
  <c r="X179" i="3"/>
  <c r="V179" i="3"/>
  <c r="T179" i="3"/>
  <c r="U179" i="3" s="1"/>
  <c r="R179" i="3"/>
  <c r="S179" i="3" s="1"/>
  <c r="O179" i="3"/>
  <c r="N179" i="3"/>
  <c r="Q179" i="3" s="1"/>
  <c r="M179" i="3"/>
  <c r="L179" i="3"/>
  <c r="H179" i="3"/>
  <c r="J179" i="3" s="1"/>
  <c r="X178" i="3"/>
  <c r="W178" i="3"/>
  <c r="V178" i="3"/>
  <c r="U178" i="3"/>
  <c r="T178" i="3"/>
  <c r="S178" i="3"/>
  <c r="R178" i="3"/>
  <c r="P178" i="3"/>
  <c r="N178" i="3"/>
  <c r="M178" i="3"/>
  <c r="L178" i="3"/>
  <c r="H178" i="3"/>
  <c r="X177" i="3"/>
  <c r="V177" i="3"/>
  <c r="W177" i="3" s="1"/>
  <c r="T177" i="3"/>
  <c r="U177" i="3" s="1"/>
  <c r="R177" i="3"/>
  <c r="S177" i="3" s="1"/>
  <c r="N177" i="3"/>
  <c r="P177" i="3" s="1"/>
  <c r="M177" i="3"/>
  <c r="L177" i="3"/>
  <c r="J177" i="3"/>
  <c r="I177" i="3"/>
  <c r="K177" i="3" s="1"/>
  <c r="H177" i="3"/>
  <c r="X176" i="3"/>
  <c r="W176" i="3"/>
  <c r="V176" i="3"/>
  <c r="U176" i="3"/>
  <c r="T176" i="3"/>
  <c r="R176" i="3"/>
  <c r="N176" i="3"/>
  <c r="M176" i="3"/>
  <c r="L176" i="3"/>
  <c r="J176" i="3"/>
  <c r="K176" i="3" s="1"/>
  <c r="I176" i="3"/>
  <c r="H176" i="3"/>
  <c r="X175" i="3"/>
  <c r="V175" i="3"/>
  <c r="W175" i="3" s="1"/>
  <c r="T175" i="3"/>
  <c r="U175" i="3" s="1"/>
  <c r="R175" i="3"/>
  <c r="N175" i="3"/>
  <c r="M175" i="3"/>
  <c r="L175" i="3"/>
  <c r="H175" i="3"/>
  <c r="J175" i="3" s="1"/>
  <c r="X174" i="3"/>
  <c r="W174" i="3"/>
  <c r="V174" i="3"/>
  <c r="T174" i="3"/>
  <c r="U174" i="3" s="1"/>
  <c r="S174" i="3"/>
  <c r="R174" i="3"/>
  <c r="N174" i="3"/>
  <c r="P174" i="3" s="1"/>
  <c r="M174" i="3"/>
  <c r="L174" i="3"/>
  <c r="J174" i="3"/>
  <c r="I174" i="3"/>
  <c r="K174" i="3" s="1"/>
  <c r="H174" i="3"/>
  <c r="X173" i="3"/>
  <c r="V173" i="3"/>
  <c r="W173" i="3" s="1"/>
  <c r="U173" i="3"/>
  <c r="T173" i="3"/>
  <c r="R173" i="3"/>
  <c r="S173" i="3" s="1"/>
  <c r="N173" i="3"/>
  <c r="Q173" i="3" s="1"/>
  <c r="M173" i="3"/>
  <c r="L173" i="3"/>
  <c r="J173" i="3"/>
  <c r="H173" i="3"/>
  <c r="I173" i="3" s="1"/>
  <c r="K173" i="3" s="1"/>
  <c r="X172" i="3"/>
  <c r="V172" i="3"/>
  <c r="U172" i="3"/>
  <c r="T172" i="3"/>
  <c r="S172" i="3"/>
  <c r="R172" i="3"/>
  <c r="N172" i="3"/>
  <c r="O171" i="3" s="1"/>
  <c r="M172" i="3"/>
  <c r="L172" i="3"/>
  <c r="I172" i="3"/>
  <c r="H172" i="3"/>
  <c r="J172" i="3" s="1"/>
  <c r="K172" i="3" s="1"/>
  <c r="X171" i="3"/>
  <c r="V171" i="3"/>
  <c r="T171" i="3"/>
  <c r="U171" i="3" s="1"/>
  <c r="R171" i="3"/>
  <c r="S171" i="3" s="1"/>
  <c r="N171" i="3"/>
  <c r="Q171" i="3" s="1"/>
  <c r="M171" i="3"/>
  <c r="L171" i="3"/>
  <c r="H171" i="3"/>
  <c r="J171" i="3" s="1"/>
  <c r="X170" i="3"/>
  <c r="W170" i="3"/>
  <c r="V170" i="3"/>
  <c r="U170" i="3"/>
  <c r="T170" i="3"/>
  <c r="S170" i="3"/>
  <c r="R170" i="3"/>
  <c r="N170" i="3"/>
  <c r="M170" i="3"/>
  <c r="L170" i="3"/>
  <c r="H170" i="3"/>
  <c r="X169" i="3"/>
  <c r="V169" i="3"/>
  <c r="W169" i="3" s="1"/>
  <c r="T169" i="3"/>
  <c r="U169" i="3" s="1"/>
  <c r="R169" i="3"/>
  <c r="S169" i="3" s="1"/>
  <c r="N169" i="3"/>
  <c r="P169" i="3" s="1"/>
  <c r="M169" i="3"/>
  <c r="L169" i="3"/>
  <c r="J169" i="3"/>
  <c r="I169" i="3"/>
  <c r="K169" i="3" s="1"/>
  <c r="H169" i="3"/>
  <c r="X168" i="3"/>
  <c r="W168" i="3"/>
  <c r="V168" i="3"/>
  <c r="U168" i="3"/>
  <c r="T168" i="3"/>
  <c r="R168" i="3"/>
  <c r="N168" i="3"/>
  <c r="M168" i="3"/>
  <c r="L168" i="3"/>
  <c r="J168" i="3"/>
  <c r="K168" i="3" s="1"/>
  <c r="I168" i="3"/>
  <c r="H168" i="3"/>
  <c r="X167" i="3"/>
  <c r="V167" i="3"/>
  <c r="W167" i="3" s="1"/>
  <c r="T167" i="3"/>
  <c r="U167" i="3" s="1"/>
  <c r="R167" i="3"/>
  <c r="N167" i="3"/>
  <c r="M167" i="3"/>
  <c r="L167" i="3"/>
  <c r="H167" i="3"/>
  <c r="J167" i="3" s="1"/>
  <c r="X166" i="3"/>
  <c r="W166" i="3"/>
  <c r="V166" i="3"/>
  <c r="T166" i="3"/>
  <c r="U166" i="3" s="1"/>
  <c r="S166" i="3"/>
  <c r="R166" i="3"/>
  <c r="N166" i="3"/>
  <c r="P166" i="3" s="1"/>
  <c r="M166" i="3"/>
  <c r="L166" i="3"/>
  <c r="J166" i="3"/>
  <c r="I166" i="3"/>
  <c r="K166" i="3" s="1"/>
  <c r="H166" i="3"/>
  <c r="X165" i="3"/>
  <c r="V165" i="3"/>
  <c r="W165" i="3" s="1"/>
  <c r="U165" i="3"/>
  <c r="T165" i="3"/>
  <c r="R165" i="3"/>
  <c r="S165" i="3" s="1"/>
  <c r="N165" i="3"/>
  <c r="M165" i="3"/>
  <c r="L165" i="3"/>
  <c r="J165" i="3"/>
  <c r="H165" i="3"/>
  <c r="I165" i="3" s="1"/>
  <c r="K165" i="3" s="1"/>
  <c r="X164" i="3"/>
  <c r="V164" i="3"/>
  <c r="U164" i="3"/>
  <c r="T164" i="3"/>
  <c r="S164" i="3"/>
  <c r="R164" i="3"/>
  <c r="N164" i="3"/>
  <c r="M164" i="3"/>
  <c r="L164" i="3"/>
  <c r="I164" i="3"/>
  <c r="H164" i="3"/>
  <c r="J164" i="3" s="1"/>
  <c r="K164" i="3" s="1"/>
  <c r="X163" i="3"/>
  <c r="V163" i="3"/>
  <c r="T163" i="3"/>
  <c r="U163" i="3" s="1"/>
  <c r="R163" i="3"/>
  <c r="S163" i="3" s="1"/>
  <c r="O163" i="3"/>
  <c r="N163" i="3"/>
  <c r="Q163" i="3" s="1"/>
  <c r="M163" i="3"/>
  <c r="L163" i="3"/>
  <c r="H163" i="3"/>
  <c r="J163" i="3" s="1"/>
  <c r="X162" i="3"/>
  <c r="W162" i="3"/>
  <c r="V162" i="3"/>
  <c r="U162" i="3"/>
  <c r="T162" i="3"/>
  <c r="S162" i="3"/>
  <c r="R162" i="3"/>
  <c r="N162" i="3"/>
  <c r="M162" i="3"/>
  <c r="L162" i="3"/>
  <c r="H162" i="3"/>
  <c r="X161" i="3"/>
  <c r="V161" i="3"/>
  <c r="W161" i="3" s="1"/>
  <c r="T161" i="3"/>
  <c r="U161" i="3" s="1"/>
  <c r="R161" i="3"/>
  <c r="S161" i="3" s="1"/>
  <c r="N161" i="3"/>
  <c r="P161" i="3" s="1"/>
  <c r="M161" i="3"/>
  <c r="L161" i="3"/>
  <c r="J161" i="3"/>
  <c r="I161" i="3"/>
  <c r="K161" i="3" s="1"/>
  <c r="H161" i="3"/>
  <c r="X160" i="3"/>
  <c r="W160" i="3"/>
  <c r="V160" i="3"/>
  <c r="U160" i="3"/>
  <c r="T160" i="3"/>
  <c r="R160" i="3"/>
  <c r="N160" i="3"/>
  <c r="P160" i="3" s="1"/>
  <c r="M160" i="3"/>
  <c r="L160" i="3"/>
  <c r="J160" i="3"/>
  <c r="K160" i="3" s="1"/>
  <c r="I160" i="3"/>
  <c r="H160" i="3"/>
  <c r="X159" i="3"/>
  <c r="V159" i="3"/>
  <c r="W159" i="3" s="1"/>
  <c r="T159" i="3"/>
  <c r="U159" i="3" s="1"/>
  <c r="R159" i="3"/>
  <c r="N159" i="3"/>
  <c r="Q159" i="3" s="1"/>
  <c r="M159" i="3"/>
  <c r="L159" i="3"/>
  <c r="H159" i="3"/>
  <c r="J159" i="3" s="1"/>
  <c r="X158" i="3"/>
  <c r="W158" i="3"/>
  <c r="V158" i="3"/>
  <c r="T158" i="3"/>
  <c r="U158" i="3" s="1"/>
  <c r="S158" i="3"/>
  <c r="R158" i="3"/>
  <c r="N158" i="3"/>
  <c r="M158" i="3"/>
  <c r="L158" i="3"/>
  <c r="I158" i="3"/>
  <c r="H158" i="3"/>
  <c r="J158" i="3" s="1"/>
  <c r="X157" i="3"/>
  <c r="V157" i="3"/>
  <c r="W157" i="3" s="1"/>
  <c r="U157" i="3"/>
  <c r="T157" i="3"/>
  <c r="R157" i="3"/>
  <c r="S157" i="3" s="1"/>
  <c r="N157" i="3"/>
  <c r="M157" i="3"/>
  <c r="L157" i="3"/>
  <c r="J157" i="3"/>
  <c r="H157" i="3"/>
  <c r="I157" i="3" s="1"/>
  <c r="K157" i="3" s="1"/>
  <c r="X156" i="3"/>
  <c r="V156" i="3"/>
  <c r="W156" i="3" s="1"/>
  <c r="U156" i="3"/>
  <c r="T156" i="3"/>
  <c r="S156" i="3"/>
  <c r="R156" i="3"/>
  <c r="N156" i="3"/>
  <c r="M156" i="3"/>
  <c r="L156" i="3"/>
  <c r="K156" i="3"/>
  <c r="J156" i="3"/>
  <c r="I156" i="3"/>
  <c r="H156" i="3"/>
  <c r="X155" i="3"/>
  <c r="W155" i="3"/>
  <c r="V155" i="3"/>
  <c r="T155" i="3"/>
  <c r="U155" i="3" s="1"/>
  <c r="R155" i="3"/>
  <c r="S155" i="3" s="1"/>
  <c r="N155" i="3"/>
  <c r="M155" i="3"/>
  <c r="L155" i="3"/>
  <c r="H155" i="3"/>
  <c r="X154" i="3"/>
  <c r="W154" i="3"/>
  <c r="V154" i="3"/>
  <c r="U154" i="3"/>
  <c r="T154" i="3"/>
  <c r="S154" i="3"/>
  <c r="R154" i="3"/>
  <c r="N154" i="3"/>
  <c r="M154" i="3"/>
  <c r="L154" i="3"/>
  <c r="H154" i="3"/>
  <c r="J154" i="3" s="1"/>
  <c r="X153" i="3"/>
  <c r="V153" i="3"/>
  <c r="W153" i="3" s="1"/>
  <c r="T153" i="3"/>
  <c r="U153" i="3" s="1"/>
  <c r="R153" i="3"/>
  <c r="S153" i="3" s="1"/>
  <c r="N153" i="3"/>
  <c r="M153" i="3"/>
  <c r="L153" i="3"/>
  <c r="J153" i="3"/>
  <c r="I153" i="3"/>
  <c r="H153" i="3"/>
  <c r="X152" i="3"/>
  <c r="W152" i="3"/>
  <c r="V152" i="3"/>
  <c r="U152" i="3"/>
  <c r="T152" i="3"/>
  <c r="S152" i="3"/>
  <c r="R152" i="3"/>
  <c r="S151" i="3" s="1"/>
  <c r="N152" i="3"/>
  <c r="M152" i="3"/>
  <c r="L152" i="3"/>
  <c r="K152" i="3"/>
  <c r="J152" i="3"/>
  <c r="I152" i="3"/>
  <c r="H152" i="3"/>
  <c r="X151" i="3"/>
  <c r="V151" i="3"/>
  <c r="W151" i="3" s="1"/>
  <c r="T151" i="3"/>
  <c r="U151" i="3" s="1"/>
  <c r="R151" i="3"/>
  <c r="N151" i="3"/>
  <c r="M151" i="3"/>
  <c r="L151" i="3"/>
  <c r="H151" i="3"/>
  <c r="J151" i="3" s="1"/>
  <c r="X150" i="3"/>
  <c r="W150" i="3"/>
  <c r="V150" i="3"/>
  <c r="T150" i="3"/>
  <c r="U149" i="3" s="1"/>
  <c r="S150" i="3"/>
  <c r="R150" i="3"/>
  <c r="N150" i="3"/>
  <c r="M150" i="3"/>
  <c r="L150" i="3"/>
  <c r="I150" i="3"/>
  <c r="H150" i="3"/>
  <c r="J150" i="3" s="1"/>
  <c r="X149" i="3"/>
  <c r="V149" i="3"/>
  <c r="T149" i="3"/>
  <c r="R149" i="3"/>
  <c r="S149" i="3" s="1"/>
  <c r="N149" i="3"/>
  <c r="M149" i="3"/>
  <c r="L149" i="3"/>
  <c r="J149" i="3"/>
  <c r="H149" i="3"/>
  <c r="I149" i="3" s="1"/>
  <c r="K149" i="3" s="1"/>
  <c r="X148" i="3"/>
  <c r="V148" i="3"/>
  <c r="U148" i="3"/>
  <c r="T148" i="3"/>
  <c r="S148" i="3"/>
  <c r="R148" i="3"/>
  <c r="O148" i="3"/>
  <c r="N148" i="3"/>
  <c r="M148" i="3"/>
  <c r="L148" i="3"/>
  <c r="I148" i="3"/>
  <c r="H148" i="3"/>
  <c r="J148" i="3" s="1"/>
  <c r="K148" i="3" s="1"/>
  <c r="X147" i="3"/>
  <c r="W147" i="3"/>
  <c r="V147" i="3"/>
  <c r="T147" i="3"/>
  <c r="U147" i="3" s="1"/>
  <c r="R147" i="3"/>
  <c r="S147" i="3" s="1"/>
  <c r="N147" i="3"/>
  <c r="M147" i="3"/>
  <c r="L147" i="3"/>
  <c r="H147" i="3"/>
  <c r="X146" i="3"/>
  <c r="W146" i="3"/>
  <c r="V146" i="3"/>
  <c r="U146" i="3"/>
  <c r="T146" i="3"/>
  <c r="S146" i="3"/>
  <c r="R146" i="3"/>
  <c r="P146" i="3"/>
  <c r="N146" i="3"/>
  <c r="M146" i="3"/>
  <c r="L146" i="3"/>
  <c r="I146" i="3"/>
  <c r="K146" i="3" s="1"/>
  <c r="H146" i="3"/>
  <c r="J146" i="3" s="1"/>
  <c r="X145" i="3"/>
  <c r="V145" i="3"/>
  <c r="W145" i="3" s="1"/>
  <c r="T145" i="3"/>
  <c r="U145" i="3" s="1"/>
  <c r="R145" i="3"/>
  <c r="S145" i="3" s="1"/>
  <c r="N145" i="3"/>
  <c r="M145" i="3"/>
  <c r="L145" i="3"/>
  <c r="J145" i="3"/>
  <c r="I145" i="3"/>
  <c r="K145" i="3" s="1"/>
  <c r="H145" i="3"/>
  <c r="X144" i="3"/>
  <c r="W144" i="3"/>
  <c r="V144" i="3"/>
  <c r="U144" i="3"/>
  <c r="T144" i="3"/>
  <c r="R144" i="3"/>
  <c r="N144" i="3"/>
  <c r="P144" i="3" s="1"/>
  <c r="M144" i="3"/>
  <c r="L144" i="3"/>
  <c r="J144" i="3"/>
  <c r="K144" i="3" s="1"/>
  <c r="I144" i="3"/>
  <c r="H144" i="3"/>
  <c r="X143" i="3"/>
  <c r="V143" i="3"/>
  <c r="W143" i="3" s="1"/>
  <c r="T143" i="3"/>
  <c r="U143" i="3" s="1"/>
  <c r="R143" i="3"/>
  <c r="N143" i="3"/>
  <c r="M143" i="3"/>
  <c r="L143" i="3"/>
  <c r="H143" i="3"/>
  <c r="J143" i="3" s="1"/>
  <c r="X142" i="3"/>
  <c r="W142" i="3"/>
  <c r="V142" i="3"/>
  <c r="U142" i="3"/>
  <c r="T142" i="3"/>
  <c r="S142" i="3"/>
  <c r="R142" i="3"/>
  <c r="N142" i="3"/>
  <c r="M142" i="3"/>
  <c r="L142" i="3"/>
  <c r="I142" i="3"/>
  <c r="H142" i="3"/>
  <c r="J142" i="3" s="1"/>
  <c r="X141" i="3"/>
  <c r="V141" i="3"/>
  <c r="W141" i="3" s="1"/>
  <c r="U141" i="3"/>
  <c r="T141" i="3"/>
  <c r="R141" i="3"/>
  <c r="S141" i="3" s="1"/>
  <c r="N141" i="3"/>
  <c r="M141" i="3"/>
  <c r="L141" i="3"/>
  <c r="J141" i="3"/>
  <c r="H141" i="3"/>
  <c r="I141" i="3" s="1"/>
  <c r="K141" i="3" s="1"/>
  <c r="X140" i="3"/>
  <c r="V140" i="3"/>
  <c r="W140" i="3" s="1"/>
  <c r="U140" i="3"/>
  <c r="T140" i="3"/>
  <c r="S140" i="3"/>
  <c r="R140" i="3"/>
  <c r="N140" i="3"/>
  <c r="M140" i="3"/>
  <c r="L140" i="3"/>
  <c r="K140" i="3"/>
  <c r="J140" i="3"/>
  <c r="I140" i="3"/>
  <c r="H140" i="3"/>
  <c r="X139" i="3"/>
  <c r="W139" i="3"/>
  <c r="V139" i="3"/>
  <c r="T139" i="3"/>
  <c r="U139" i="3" s="1"/>
  <c r="R139" i="3"/>
  <c r="S139" i="3" s="1"/>
  <c r="N139" i="3"/>
  <c r="M139" i="3"/>
  <c r="L139" i="3"/>
  <c r="H139" i="3"/>
  <c r="X138" i="3"/>
  <c r="W138" i="3"/>
  <c r="V138" i="3"/>
  <c r="U138" i="3"/>
  <c r="T138" i="3"/>
  <c r="S138" i="3"/>
  <c r="R138" i="3"/>
  <c r="N138" i="3"/>
  <c r="M138" i="3"/>
  <c r="L138" i="3"/>
  <c r="H138" i="3"/>
  <c r="J138" i="3" s="1"/>
  <c r="X137" i="3"/>
  <c r="V137" i="3"/>
  <c r="W137" i="3" s="1"/>
  <c r="T137" i="3"/>
  <c r="U137" i="3" s="1"/>
  <c r="R137" i="3"/>
  <c r="S137" i="3" s="1"/>
  <c r="N137" i="3"/>
  <c r="M137" i="3"/>
  <c r="L137" i="3"/>
  <c r="J137" i="3"/>
  <c r="I137" i="3"/>
  <c r="H137" i="3"/>
  <c r="X136" i="3"/>
  <c r="W136" i="3"/>
  <c r="V136" i="3"/>
  <c r="U136" i="3"/>
  <c r="T136" i="3"/>
  <c r="S136" i="3"/>
  <c r="R136" i="3"/>
  <c r="N136" i="3"/>
  <c r="M136" i="3"/>
  <c r="L136" i="3"/>
  <c r="J136" i="3"/>
  <c r="K136" i="3" s="1"/>
  <c r="I136" i="3"/>
  <c r="H136" i="3"/>
  <c r="X135" i="3"/>
  <c r="V135" i="3"/>
  <c r="W135" i="3" s="1"/>
  <c r="T135" i="3"/>
  <c r="U135" i="3" s="1"/>
  <c r="S135" i="3"/>
  <c r="R135" i="3"/>
  <c r="N135" i="3"/>
  <c r="M135" i="3"/>
  <c r="L135" i="3"/>
  <c r="H135" i="3"/>
  <c r="X134" i="3"/>
  <c r="W134" i="3"/>
  <c r="V134" i="3"/>
  <c r="U134" i="3"/>
  <c r="T134" i="3"/>
  <c r="U133" i="3" s="1"/>
  <c r="S134" i="3"/>
  <c r="R134" i="3"/>
  <c r="N134" i="3"/>
  <c r="M134" i="3"/>
  <c r="L134" i="3"/>
  <c r="I134" i="3"/>
  <c r="K134" i="3" s="1"/>
  <c r="H134" i="3"/>
  <c r="J134" i="3" s="1"/>
  <c r="X133" i="3"/>
  <c r="V133" i="3"/>
  <c r="W133" i="3" s="1"/>
  <c r="T133" i="3"/>
  <c r="R133" i="3"/>
  <c r="S133" i="3" s="1"/>
  <c r="N133" i="3"/>
  <c r="M133" i="3"/>
  <c r="L133" i="3"/>
  <c r="J133" i="3"/>
  <c r="H133" i="3"/>
  <c r="I133" i="3" s="1"/>
  <c r="X132" i="3"/>
  <c r="V132" i="3"/>
  <c r="W132" i="3" s="1"/>
  <c r="U132" i="3"/>
  <c r="T132" i="3"/>
  <c r="S132" i="3"/>
  <c r="R132" i="3"/>
  <c r="N132" i="3"/>
  <c r="M132" i="3"/>
  <c r="L132" i="3"/>
  <c r="K132" i="3"/>
  <c r="J132" i="3"/>
  <c r="I132" i="3"/>
  <c r="H132" i="3"/>
  <c r="X131" i="3"/>
  <c r="V131" i="3"/>
  <c r="T131" i="3"/>
  <c r="R131" i="3"/>
  <c r="S131" i="3" s="1"/>
  <c r="N131" i="3"/>
  <c r="M131" i="3"/>
  <c r="L131" i="3"/>
  <c r="H131" i="3"/>
  <c r="X130" i="3"/>
  <c r="W130" i="3"/>
  <c r="V130" i="3"/>
  <c r="T130" i="3"/>
  <c r="S130" i="3"/>
  <c r="R130" i="3"/>
  <c r="Q130" i="3"/>
  <c r="N130" i="3"/>
  <c r="M130" i="3"/>
  <c r="L130" i="3"/>
  <c r="H130" i="3"/>
  <c r="J130" i="3" s="1"/>
  <c r="X129" i="3"/>
  <c r="V129" i="3"/>
  <c r="W129" i="3" s="1"/>
  <c r="T129" i="3"/>
  <c r="U129" i="3" s="1"/>
  <c r="R129" i="3"/>
  <c r="S129" i="3" s="1"/>
  <c r="N129" i="3"/>
  <c r="M129" i="3"/>
  <c r="L129" i="3"/>
  <c r="J129" i="3"/>
  <c r="I129" i="3"/>
  <c r="K129" i="3" s="1"/>
  <c r="H129" i="3"/>
  <c r="X128" i="3"/>
  <c r="V128" i="3"/>
  <c r="U128" i="3"/>
  <c r="T128" i="3"/>
  <c r="R128" i="3"/>
  <c r="S128" i="3" s="1"/>
  <c r="N128" i="3"/>
  <c r="M128" i="3"/>
  <c r="L128" i="3"/>
  <c r="K128" i="3"/>
  <c r="J128" i="3"/>
  <c r="I128" i="3"/>
  <c r="H128" i="3"/>
  <c r="X127" i="3"/>
  <c r="V127" i="3"/>
  <c r="W127" i="3" s="1"/>
  <c r="T127" i="3"/>
  <c r="U127" i="3" s="1"/>
  <c r="R127" i="3"/>
  <c r="N127" i="3"/>
  <c r="M127" i="3"/>
  <c r="L127" i="3"/>
  <c r="H127" i="3"/>
  <c r="I127" i="3" s="1"/>
  <c r="X126" i="3"/>
  <c r="W126" i="3"/>
  <c r="V126" i="3"/>
  <c r="T126" i="3"/>
  <c r="R126" i="3"/>
  <c r="O126" i="3"/>
  <c r="N126" i="3"/>
  <c r="M126" i="3"/>
  <c r="L126" i="3"/>
  <c r="H126" i="3"/>
  <c r="J126" i="3" s="1"/>
  <c r="X125" i="3"/>
  <c r="V125" i="3"/>
  <c r="W125" i="3" s="1"/>
  <c r="T125" i="3"/>
  <c r="U125" i="3" s="1"/>
  <c r="S125" i="3"/>
  <c r="R125" i="3"/>
  <c r="N125" i="3"/>
  <c r="M125" i="3"/>
  <c r="L125" i="3"/>
  <c r="H125" i="3"/>
  <c r="J125" i="3" s="1"/>
  <c r="X124" i="3"/>
  <c r="V124" i="3"/>
  <c r="U124" i="3"/>
  <c r="T124" i="3"/>
  <c r="R124" i="3"/>
  <c r="S124" i="3" s="1"/>
  <c r="O124" i="3"/>
  <c r="N124" i="3"/>
  <c r="M124" i="3"/>
  <c r="L124" i="3"/>
  <c r="H124" i="3"/>
  <c r="J124" i="3" s="1"/>
  <c r="X123" i="3"/>
  <c r="V123" i="3"/>
  <c r="W123" i="3" s="1"/>
  <c r="U123" i="3"/>
  <c r="T123" i="3"/>
  <c r="R123" i="3"/>
  <c r="S123" i="3" s="1"/>
  <c r="P123" i="3"/>
  <c r="N123" i="3"/>
  <c r="O123" i="3" s="1"/>
  <c r="M123" i="3"/>
  <c r="L123" i="3"/>
  <c r="H123" i="3"/>
  <c r="X122" i="3"/>
  <c r="W122" i="3"/>
  <c r="V122" i="3"/>
  <c r="T122" i="3"/>
  <c r="U122" i="3" s="1"/>
  <c r="R122" i="3"/>
  <c r="S122" i="3" s="1"/>
  <c r="Q122" i="3"/>
  <c r="N122" i="3"/>
  <c r="M122" i="3"/>
  <c r="L122" i="3"/>
  <c r="J122" i="3"/>
  <c r="I122" i="3"/>
  <c r="K122" i="3" s="1"/>
  <c r="H122" i="3"/>
  <c r="X121" i="3"/>
  <c r="W121" i="3"/>
  <c r="V121" i="3"/>
  <c r="T121" i="3"/>
  <c r="U121" i="3" s="1"/>
  <c r="R121" i="3"/>
  <c r="S121" i="3" s="1"/>
  <c r="N121" i="3"/>
  <c r="M121" i="3"/>
  <c r="L121" i="3"/>
  <c r="J121" i="3"/>
  <c r="H121" i="3"/>
  <c r="I121" i="3" s="1"/>
  <c r="K121" i="3" s="1"/>
  <c r="X120" i="3"/>
  <c r="V120" i="3"/>
  <c r="W120" i="3" s="1"/>
  <c r="T120" i="3"/>
  <c r="U120" i="3" s="1"/>
  <c r="S120" i="3"/>
  <c r="R120" i="3"/>
  <c r="N120" i="3"/>
  <c r="P120" i="3" s="1"/>
  <c r="M120" i="3"/>
  <c r="L120" i="3"/>
  <c r="K120" i="3"/>
  <c r="J120" i="3"/>
  <c r="I120" i="3"/>
  <c r="H120" i="3"/>
  <c r="X119" i="3"/>
  <c r="V119" i="3"/>
  <c r="W119" i="3" s="1"/>
  <c r="T119" i="3"/>
  <c r="U119" i="3" s="1"/>
  <c r="R119" i="3"/>
  <c r="S119" i="3" s="1"/>
  <c r="N119" i="3"/>
  <c r="M119" i="3"/>
  <c r="L119" i="3"/>
  <c r="J119" i="3"/>
  <c r="K119" i="3" s="1"/>
  <c r="I119" i="3"/>
  <c r="H119" i="3"/>
  <c r="X118" i="3"/>
  <c r="V118" i="3"/>
  <c r="W118" i="3" s="1"/>
  <c r="T118" i="3"/>
  <c r="S118" i="3"/>
  <c r="R118" i="3"/>
  <c r="N118" i="3"/>
  <c r="M118" i="3"/>
  <c r="L118" i="3"/>
  <c r="H118" i="3"/>
  <c r="J118" i="3" s="1"/>
  <c r="X117" i="3"/>
  <c r="V117" i="3"/>
  <c r="W117" i="3" s="1"/>
  <c r="T117" i="3"/>
  <c r="U117" i="3" s="1"/>
  <c r="S117" i="3"/>
  <c r="R117" i="3"/>
  <c r="N117" i="3"/>
  <c r="M117" i="3"/>
  <c r="L117" i="3"/>
  <c r="H117" i="3"/>
  <c r="J117" i="3" s="1"/>
  <c r="X116" i="3"/>
  <c r="W116" i="3"/>
  <c r="V116" i="3"/>
  <c r="U116" i="3"/>
  <c r="T116" i="3"/>
  <c r="R116" i="3"/>
  <c r="S116" i="3" s="1"/>
  <c r="O116" i="3"/>
  <c r="N116" i="3"/>
  <c r="M116" i="3"/>
  <c r="L116" i="3"/>
  <c r="H116" i="3"/>
  <c r="J116" i="3" s="1"/>
  <c r="X115" i="3"/>
  <c r="V115" i="3"/>
  <c r="W115" i="3" s="1"/>
  <c r="U115" i="3"/>
  <c r="T115" i="3"/>
  <c r="R115" i="3"/>
  <c r="S115" i="3" s="1"/>
  <c r="N115" i="3"/>
  <c r="M115" i="3"/>
  <c r="L115" i="3"/>
  <c r="H115" i="3"/>
  <c r="X114" i="3"/>
  <c r="W114" i="3"/>
  <c r="V114" i="3"/>
  <c r="T114" i="3"/>
  <c r="U114" i="3" s="1"/>
  <c r="R114" i="3"/>
  <c r="S114" i="3" s="1"/>
  <c r="N114" i="3"/>
  <c r="M114" i="3"/>
  <c r="L114" i="3"/>
  <c r="J114" i="3"/>
  <c r="I114" i="3"/>
  <c r="K114" i="3" s="1"/>
  <c r="H114" i="3"/>
  <c r="X113" i="3"/>
  <c r="V113" i="3"/>
  <c r="W113" i="3" s="1"/>
  <c r="T113" i="3"/>
  <c r="U113" i="3" s="1"/>
  <c r="R113" i="3"/>
  <c r="S113" i="3" s="1"/>
  <c r="N113" i="3"/>
  <c r="M113" i="3"/>
  <c r="L113" i="3"/>
  <c r="J113" i="3"/>
  <c r="H113" i="3"/>
  <c r="I113" i="3" s="1"/>
  <c r="K113" i="3" s="1"/>
  <c r="X112" i="3"/>
  <c r="V112" i="3"/>
  <c r="W112" i="3" s="1"/>
  <c r="T112" i="3"/>
  <c r="U112" i="3" s="1"/>
  <c r="R112" i="3"/>
  <c r="N112" i="3"/>
  <c r="M112" i="3"/>
  <c r="L112" i="3"/>
  <c r="K112" i="3"/>
  <c r="J112" i="3"/>
  <c r="I112" i="3"/>
  <c r="H112" i="3"/>
  <c r="X111" i="3"/>
  <c r="V111" i="3"/>
  <c r="W111" i="3" s="1"/>
  <c r="T111" i="3"/>
  <c r="U111" i="3" s="1"/>
  <c r="R111" i="3"/>
  <c r="S111" i="3" s="1"/>
  <c r="N111" i="3"/>
  <c r="M111" i="3"/>
  <c r="L111" i="3"/>
  <c r="J111" i="3"/>
  <c r="H111" i="3"/>
  <c r="I111" i="3" s="1"/>
  <c r="K111" i="3" s="1"/>
  <c r="X110" i="3"/>
  <c r="V110" i="3"/>
  <c r="W110" i="3" s="1"/>
  <c r="U110" i="3"/>
  <c r="T110" i="3"/>
  <c r="S110" i="3"/>
  <c r="R110" i="3"/>
  <c r="N110" i="3"/>
  <c r="M110" i="3"/>
  <c r="L110" i="3"/>
  <c r="H110" i="3"/>
  <c r="J110" i="3" s="1"/>
  <c r="X109" i="3"/>
  <c r="V109" i="3"/>
  <c r="W109" i="3" s="1"/>
  <c r="T109" i="3"/>
  <c r="U109" i="3" s="1"/>
  <c r="R109" i="3"/>
  <c r="S109" i="3" s="1"/>
  <c r="N109" i="3"/>
  <c r="M109" i="3"/>
  <c r="L109" i="3"/>
  <c r="I109" i="3"/>
  <c r="H109" i="3"/>
  <c r="J109" i="3" s="1"/>
  <c r="X108" i="3"/>
  <c r="V108" i="3"/>
  <c r="U108" i="3"/>
  <c r="T108" i="3"/>
  <c r="R108" i="3"/>
  <c r="S108" i="3" s="1"/>
  <c r="N108" i="3"/>
  <c r="M108" i="3"/>
  <c r="L108" i="3"/>
  <c r="H108" i="3"/>
  <c r="J108" i="3" s="1"/>
  <c r="X107" i="3"/>
  <c r="V107" i="3"/>
  <c r="W107" i="3" s="1"/>
  <c r="T107" i="3"/>
  <c r="U107" i="3" s="1"/>
  <c r="S107" i="3"/>
  <c r="R107" i="3"/>
  <c r="P107" i="3"/>
  <c r="N107" i="3"/>
  <c r="M107" i="3"/>
  <c r="L107" i="3"/>
  <c r="H107" i="3"/>
  <c r="X106" i="3"/>
  <c r="W106" i="3"/>
  <c r="V106" i="3"/>
  <c r="T106" i="3"/>
  <c r="U106" i="3" s="1"/>
  <c r="R106" i="3"/>
  <c r="S106" i="3" s="1"/>
  <c r="N106" i="3"/>
  <c r="M106" i="3"/>
  <c r="L106" i="3"/>
  <c r="J106" i="3"/>
  <c r="I106" i="3"/>
  <c r="K106" i="3" s="1"/>
  <c r="H106" i="3"/>
  <c r="X105" i="3"/>
  <c r="V105" i="3"/>
  <c r="W105" i="3" s="1"/>
  <c r="U105" i="3"/>
  <c r="T105" i="3"/>
  <c r="R105" i="3"/>
  <c r="S105" i="3" s="1"/>
  <c r="N105" i="3"/>
  <c r="M105" i="3"/>
  <c r="L105" i="3"/>
  <c r="J105" i="3"/>
  <c r="H105" i="3"/>
  <c r="I105" i="3" s="1"/>
  <c r="K105" i="3" s="1"/>
  <c r="X104" i="3"/>
  <c r="V104" i="3"/>
  <c r="W104" i="3" s="1"/>
  <c r="T104" i="3"/>
  <c r="U104" i="3" s="1"/>
  <c r="S104" i="3"/>
  <c r="R104" i="3"/>
  <c r="N104" i="3"/>
  <c r="P104" i="3" s="1"/>
  <c r="M104" i="3"/>
  <c r="L104" i="3"/>
  <c r="K104" i="3"/>
  <c r="J104" i="3"/>
  <c r="I104" i="3"/>
  <c r="H104" i="3"/>
  <c r="X103" i="3"/>
  <c r="W103" i="3"/>
  <c r="V103" i="3"/>
  <c r="T103" i="3"/>
  <c r="U103" i="3" s="1"/>
  <c r="R103" i="3"/>
  <c r="S103" i="3" s="1"/>
  <c r="O103" i="3"/>
  <c r="N103" i="3"/>
  <c r="M103" i="3"/>
  <c r="L103" i="3"/>
  <c r="J103" i="3"/>
  <c r="H103" i="3"/>
  <c r="I103" i="3" s="1"/>
  <c r="K103" i="3" s="1"/>
  <c r="X102" i="3"/>
  <c r="V102" i="3"/>
  <c r="W102" i="3" s="1"/>
  <c r="U102" i="3"/>
  <c r="T102" i="3"/>
  <c r="S102" i="3"/>
  <c r="R102" i="3"/>
  <c r="N102" i="3"/>
  <c r="M102" i="3"/>
  <c r="L102" i="3"/>
  <c r="H102" i="3"/>
  <c r="J102" i="3" s="1"/>
  <c r="X101" i="3"/>
  <c r="V101" i="3"/>
  <c r="W101" i="3" s="1"/>
  <c r="T101" i="3"/>
  <c r="U101" i="3" s="1"/>
  <c r="R101" i="3"/>
  <c r="S101" i="3" s="1"/>
  <c r="N101" i="3"/>
  <c r="M101" i="3"/>
  <c r="L101" i="3"/>
  <c r="I101" i="3"/>
  <c r="H101" i="3"/>
  <c r="J101" i="3" s="1"/>
  <c r="X100" i="3"/>
  <c r="W100" i="3"/>
  <c r="V100" i="3"/>
  <c r="U100" i="3"/>
  <c r="T100" i="3"/>
  <c r="R100" i="3"/>
  <c r="S100" i="3" s="1"/>
  <c r="O100" i="3"/>
  <c r="N100" i="3"/>
  <c r="Q100" i="3" s="1"/>
  <c r="M100" i="3"/>
  <c r="L100" i="3"/>
  <c r="H100" i="3"/>
  <c r="J100" i="3" s="1"/>
  <c r="X99" i="3"/>
  <c r="V99" i="3"/>
  <c r="W99" i="3" s="1"/>
  <c r="T99" i="3"/>
  <c r="U99" i="3" s="1"/>
  <c r="S99" i="3"/>
  <c r="R99" i="3"/>
  <c r="N99" i="3"/>
  <c r="M99" i="3"/>
  <c r="L99" i="3"/>
  <c r="H99" i="3"/>
  <c r="X98" i="3"/>
  <c r="W98" i="3"/>
  <c r="V98" i="3"/>
  <c r="T98" i="3"/>
  <c r="U98" i="3" s="1"/>
  <c r="R98" i="3"/>
  <c r="S98" i="3" s="1"/>
  <c r="N98" i="3"/>
  <c r="M98" i="3"/>
  <c r="L98" i="3"/>
  <c r="J98" i="3"/>
  <c r="I98" i="3"/>
  <c r="K98" i="3" s="1"/>
  <c r="H98" i="3"/>
  <c r="X97" i="3"/>
  <c r="V97" i="3"/>
  <c r="W97" i="3" s="1"/>
  <c r="T97" i="3"/>
  <c r="U97" i="3" s="1"/>
  <c r="R97" i="3"/>
  <c r="S97" i="3" s="1"/>
  <c r="N97" i="3"/>
  <c r="O97" i="3" s="1"/>
  <c r="M97" i="3"/>
  <c r="L97" i="3"/>
  <c r="J97" i="3"/>
  <c r="H97" i="3"/>
  <c r="I97" i="3" s="1"/>
  <c r="K97" i="3" s="1"/>
  <c r="X96" i="3"/>
  <c r="V96" i="3"/>
  <c r="W96" i="3" s="1"/>
  <c r="T96" i="3"/>
  <c r="U96" i="3" s="1"/>
  <c r="S96" i="3"/>
  <c r="R96" i="3"/>
  <c r="N96" i="3"/>
  <c r="P96" i="3" s="1"/>
  <c r="M96" i="3"/>
  <c r="L96" i="3"/>
  <c r="K96" i="3"/>
  <c r="J96" i="3"/>
  <c r="I96" i="3"/>
  <c r="H96" i="3"/>
  <c r="X95" i="3"/>
  <c r="V95" i="3"/>
  <c r="W95" i="3" s="1"/>
  <c r="T95" i="3"/>
  <c r="U95" i="3" s="1"/>
  <c r="R95" i="3"/>
  <c r="S95" i="3" s="1"/>
  <c r="N95" i="3"/>
  <c r="M95" i="3"/>
  <c r="L95" i="3"/>
  <c r="J95" i="3"/>
  <c r="K95" i="3" s="1"/>
  <c r="I95" i="3"/>
  <c r="H95" i="3"/>
  <c r="X94" i="3"/>
  <c r="V94" i="3"/>
  <c r="W94" i="3" s="1"/>
  <c r="U94" i="3"/>
  <c r="T94" i="3"/>
  <c r="S94" i="3"/>
  <c r="R94" i="3"/>
  <c r="N94" i="3"/>
  <c r="M94" i="3"/>
  <c r="L94" i="3"/>
  <c r="H94" i="3"/>
  <c r="J94" i="3" s="1"/>
  <c r="X93" i="3"/>
  <c r="V93" i="3"/>
  <c r="W93" i="3" s="1"/>
  <c r="T93" i="3"/>
  <c r="U93" i="3" s="1"/>
  <c r="S93" i="3"/>
  <c r="R93" i="3"/>
  <c r="N93" i="3"/>
  <c r="M93" i="3"/>
  <c r="L93" i="3"/>
  <c r="H93" i="3"/>
  <c r="J93" i="3" s="1"/>
  <c r="X92" i="3"/>
  <c r="W92" i="3"/>
  <c r="V92" i="3"/>
  <c r="U92" i="3"/>
  <c r="T92" i="3"/>
  <c r="R92" i="3"/>
  <c r="S92" i="3" s="1"/>
  <c r="N92" i="3"/>
  <c r="M92" i="3"/>
  <c r="L92" i="3"/>
  <c r="H92" i="3"/>
  <c r="J92" i="3" s="1"/>
  <c r="X91" i="3"/>
  <c r="V91" i="3"/>
  <c r="W91" i="3" s="1"/>
  <c r="U91" i="3"/>
  <c r="T91" i="3"/>
  <c r="R91" i="3"/>
  <c r="S91" i="3" s="1"/>
  <c r="N91" i="3"/>
  <c r="M91" i="3"/>
  <c r="L91" i="3"/>
  <c r="H91" i="3"/>
  <c r="X90" i="3"/>
  <c r="W90" i="3"/>
  <c r="V90" i="3"/>
  <c r="T90" i="3"/>
  <c r="U90" i="3" s="1"/>
  <c r="R90" i="3"/>
  <c r="S90" i="3" s="1"/>
  <c r="N90" i="3"/>
  <c r="M90" i="3"/>
  <c r="L90" i="3"/>
  <c r="J90" i="3"/>
  <c r="I90" i="3"/>
  <c r="K90" i="3" s="1"/>
  <c r="H90" i="3"/>
  <c r="X89" i="3"/>
  <c r="W89" i="3"/>
  <c r="V89" i="3"/>
  <c r="T89" i="3"/>
  <c r="U89" i="3" s="1"/>
  <c r="R89" i="3"/>
  <c r="S89" i="3" s="1"/>
  <c r="N89" i="3"/>
  <c r="M89" i="3"/>
  <c r="L89" i="3"/>
  <c r="J89" i="3"/>
  <c r="H89" i="3"/>
  <c r="I89" i="3" s="1"/>
  <c r="K89" i="3" s="1"/>
  <c r="X88" i="3"/>
  <c r="V88" i="3"/>
  <c r="W88" i="3" s="1"/>
  <c r="T88" i="3"/>
  <c r="U88" i="3" s="1"/>
  <c r="S88" i="3"/>
  <c r="R88" i="3"/>
  <c r="N88" i="3"/>
  <c r="M88" i="3"/>
  <c r="L88" i="3"/>
  <c r="K88" i="3"/>
  <c r="J88" i="3"/>
  <c r="I88" i="3"/>
  <c r="H88" i="3"/>
  <c r="X87" i="3"/>
  <c r="V87" i="3"/>
  <c r="W87" i="3" s="1"/>
  <c r="T87" i="3"/>
  <c r="U87" i="3" s="1"/>
  <c r="R87" i="3"/>
  <c r="S87" i="3" s="1"/>
  <c r="N87" i="3"/>
  <c r="M87" i="3"/>
  <c r="L87" i="3"/>
  <c r="J87" i="3"/>
  <c r="K87" i="3" s="1"/>
  <c r="I87" i="3"/>
  <c r="H87" i="3"/>
  <c r="X86" i="3"/>
  <c r="V86" i="3"/>
  <c r="W86" i="3" s="1"/>
  <c r="T86" i="3"/>
  <c r="S86" i="3"/>
  <c r="R86" i="3"/>
  <c r="N86" i="3"/>
  <c r="M86" i="3"/>
  <c r="L86" i="3"/>
  <c r="H86" i="3"/>
  <c r="J86" i="3" s="1"/>
  <c r="X85" i="3"/>
  <c r="V85" i="3"/>
  <c r="T85" i="3"/>
  <c r="U85" i="3" s="1"/>
  <c r="S85" i="3"/>
  <c r="R85" i="3"/>
  <c r="N85" i="3"/>
  <c r="M85" i="3"/>
  <c r="L85" i="3"/>
  <c r="H85" i="3"/>
  <c r="J85" i="3" s="1"/>
  <c r="X84" i="3"/>
  <c r="V84" i="3"/>
  <c r="U84" i="3"/>
  <c r="T84" i="3"/>
  <c r="R84" i="3"/>
  <c r="S84" i="3" s="1"/>
  <c r="O84" i="3"/>
  <c r="N84" i="3"/>
  <c r="M84" i="3"/>
  <c r="L84" i="3"/>
  <c r="H84" i="3"/>
  <c r="J84" i="3" s="1"/>
  <c r="X83" i="3"/>
  <c r="V83" i="3"/>
  <c r="W83" i="3" s="1"/>
  <c r="U83" i="3"/>
  <c r="T83" i="3"/>
  <c r="R83" i="3"/>
  <c r="S83" i="3" s="1"/>
  <c r="P83" i="3"/>
  <c r="N83" i="3"/>
  <c r="M83" i="3"/>
  <c r="L83" i="3"/>
  <c r="H83" i="3"/>
  <c r="X82" i="3"/>
  <c r="W82" i="3"/>
  <c r="V82" i="3"/>
  <c r="T82" i="3"/>
  <c r="U82" i="3" s="1"/>
  <c r="R82" i="3"/>
  <c r="S82" i="3" s="1"/>
  <c r="N82" i="3"/>
  <c r="M82" i="3"/>
  <c r="L82" i="3"/>
  <c r="J82" i="3"/>
  <c r="I82" i="3"/>
  <c r="K82" i="3" s="1"/>
  <c r="H82" i="3"/>
  <c r="X81" i="3"/>
  <c r="W81" i="3"/>
  <c r="V81" i="3"/>
  <c r="T81" i="3"/>
  <c r="U81" i="3" s="1"/>
  <c r="R81" i="3"/>
  <c r="S81" i="3" s="1"/>
  <c r="P81" i="3"/>
  <c r="N81" i="3"/>
  <c r="M81" i="3"/>
  <c r="L81" i="3"/>
  <c r="H81" i="3"/>
  <c r="I81" i="3" s="1"/>
  <c r="X80" i="3"/>
  <c r="V80" i="3"/>
  <c r="W80" i="3" s="1"/>
  <c r="T80" i="3"/>
  <c r="U80" i="3" s="1"/>
  <c r="S80" i="3"/>
  <c r="R80" i="3"/>
  <c r="N80" i="3"/>
  <c r="M80" i="3"/>
  <c r="L80" i="3"/>
  <c r="J80" i="3"/>
  <c r="I80" i="3"/>
  <c r="K80" i="3" s="1"/>
  <c r="H80" i="3"/>
  <c r="X79" i="3"/>
  <c r="V79" i="3"/>
  <c r="W79" i="3" s="1"/>
  <c r="U79" i="3"/>
  <c r="T79" i="3"/>
  <c r="R79" i="3"/>
  <c r="S79" i="3" s="1"/>
  <c r="N79" i="3"/>
  <c r="M79" i="3"/>
  <c r="L79" i="3"/>
  <c r="J79" i="3"/>
  <c r="K79" i="3" s="1"/>
  <c r="I79" i="3"/>
  <c r="H79" i="3"/>
  <c r="X78" i="3"/>
  <c r="W78" i="3"/>
  <c r="V78" i="3"/>
  <c r="U78" i="3"/>
  <c r="T78" i="3"/>
  <c r="R78" i="3"/>
  <c r="N78" i="3"/>
  <c r="M78" i="3"/>
  <c r="L78" i="3"/>
  <c r="H78" i="3"/>
  <c r="X77" i="3"/>
  <c r="W77" i="3"/>
  <c r="V77" i="3"/>
  <c r="U77" i="3"/>
  <c r="T77" i="3"/>
  <c r="S77" i="3"/>
  <c r="R77" i="3"/>
  <c r="N77" i="3"/>
  <c r="Q77" i="3" s="1"/>
  <c r="M77" i="3"/>
  <c r="L77" i="3"/>
  <c r="I77" i="3"/>
  <c r="K77" i="3" s="1"/>
  <c r="H77" i="3"/>
  <c r="J77" i="3" s="1"/>
  <c r="X76" i="3"/>
  <c r="V76" i="3"/>
  <c r="W76" i="3" s="1"/>
  <c r="U76" i="3"/>
  <c r="T76" i="3"/>
  <c r="R76" i="3"/>
  <c r="S76" i="3" s="1"/>
  <c r="N76" i="3"/>
  <c r="P76" i="3" s="1"/>
  <c r="M76" i="3"/>
  <c r="L76" i="3"/>
  <c r="H76" i="3"/>
  <c r="X75" i="3"/>
  <c r="V75" i="3"/>
  <c r="W75" i="3" s="1"/>
  <c r="U75" i="3"/>
  <c r="T75" i="3"/>
  <c r="S75" i="3"/>
  <c r="R75" i="3"/>
  <c r="Q75" i="3"/>
  <c r="N75" i="3"/>
  <c r="P75" i="3" s="1"/>
  <c r="M75" i="3"/>
  <c r="L75" i="3"/>
  <c r="J75" i="3"/>
  <c r="I75" i="3"/>
  <c r="K75" i="3" s="1"/>
  <c r="H75" i="3"/>
  <c r="X74" i="3"/>
  <c r="V74" i="3"/>
  <c r="W74" i="3" s="1"/>
  <c r="T74" i="3"/>
  <c r="U74" i="3" s="1"/>
  <c r="S74" i="3"/>
  <c r="R74" i="3"/>
  <c r="Q74" i="3"/>
  <c r="N74" i="3"/>
  <c r="P74" i="3" s="1"/>
  <c r="M74" i="3"/>
  <c r="L74" i="3"/>
  <c r="J74" i="3"/>
  <c r="I74" i="3"/>
  <c r="K74" i="3" s="1"/>
  <c r="H74" i="3"/>
  <c r="X73" i="3"/>
  <c r="V73" i="3"/>
  <c r="T73" i="3"/>
  <c r="U73" i="3" s="1"/>
  <c r="R73" i="3"/>
  <c r="S73" i="3" s="1"/>
  <c r="N73" i="3"/>
  <c r="M73" i="3"/>
  <c r="L73" i="3"/>
  <c r="J73" i="3"/>
  <c r="H73" i="3"/>
  <c r="I73" i="3" s="1"/>
  <c r="X72" i="3"/>
  <c r="V72" i="3"/>
  <c r="W72" i="3" s="1"/>
  <c r="T72" i="3"/>
  <c r="U72" i="3" s="1"/>
  <c r="R72" i="3"/>
  <c r="S72" i="3" s="1"/>
  <c r="N72" i="3"/>
  <c r="Q72" i="3" s="1"/>
  <c r="M72" i="3"/>
  <c r="L72" i="3"/>
  <c r="J72" i="3"/>
  <c r="H72" i="3"/>
  <c r="I72" i="3" s="1"/>
  <c r="K72" i="3" s="1"/>
  <c r="X71" i="3"/>
  <c r="W71" i="3"/>
  <c r="V71" i="3"/>
  <c r="U71" i="3"/>
  <c r="T71" i="3"/>
  <c r="S71" i="3"/>
  <c r="R71" i="3"/>
  <c r="O71" i="3"/>
  <c r="N71" i="3"/>
  <c r="M71" i="3"/>
  <c r="L71" i="3"/>
  <c r="H71" i="3"/>
  <c r="J71" i="3" s="1"/>
  <c r="X70" i="3"/>
  <c r="V70" i="3"/>
  <c r="W70" i="3" s="1"/>
  <c r="T70" i="3"/>
  <c r="U70" i="3" s="1"/>
  <c r="R70" i="3"/>
  <c r="S70" i="3" s="1"/>
  <c r="N70" i="3"/>
  <c r="M70" i="3"/>
  <c r="L70" i="3"/>
  <c r="H70" i="3"/>
  <c r="J70" i="3" s="1"/>
  <c r="X69" i="3"/>
  <c r="W69" i="3"/>
  <c r="V69" i="3"/>
  <c r="T69" i="3"/>
  <c r="R69" i="3"/>
  <c r="S69" i="3" s="1"/>
  <c r="O69" i="3"/>
  <c r="N69" i="3"/>
  <c r="M69" i="3"/>
  <c r="L69" i="3"/>
  <c r="I69" i="3"/>
  <c r="K69" i="3" s="1"/>
  <c r="H69" i="3"/>
  <c r="J69" i="3" s="1"/>
  <c r="X68" i="3"/>
  <c r="V68" i="3"/>
  <c r="W68" i="3" s="1"/>
  <c r="T68" i="3"/>
  <c r="U68" i="3" s="1"/>
  <c r="R68" i="3"/>
  <c r="S68" i="3" s="1"/>
  <c r="N68" i="3"/>
  <c r="M68" i="3"/>
  <c r="L68" i="3"/>
  <c r="H68" i="3"/>
  <c r="J68" i="3" s="1"/>
  <c r="X67" i="3"/>
  <c r="W67" i="3"/>
  <c r="V67" i="3"/>
  <c r="T67" i="3"/>
  <c r="U67" i="3" s="1"/>
  <c r="S67" i="3"/>
  <c r="R67" i="3"/>
  <c r="O67" i="3"/>
  <c r="N67" i="3"/>
  <c r="M67" i="3"/>
  <c r="L67" i="3"/>
  <c r="I67" i="3"/>
  <c r="K67" i="3" s="1"/>
  <c r="H67" i="3"/>
  <c r="J67" i="3" s="1"/>
  <c r="X66" i="3"/>
  <c r="V66" i="3"/>
  <c r="W66" i="3" s="1"/>
  <c r="T66" i="3"/>
  <c r="U66" i="3" s="1"/>
  <c r="R66" i="3"/>
  <c r="S66" i="3" s="1"/>
  <c r="N66" i="3"/>
  <c r="M66" i="3"/>
  <c r="L66" i="3"/>
  <c r="H66" i="3"/>
  <c r="X65" i="3"/>
  <c r="V65" i="3"/>
  <c r="W65" i="3" s="1"/>
  <c r="U65" i="3"/>
  <c r="T65" i="3"/>
  <c r="S65" i="3"/>
  <c r="R65" i="3"/>
  <c r="N65" i="3"/>
  <c r="P65" i="3" s="1"/>
  <c r="M65" i="3"/>
  <c r="L65" i="3"/>
  <c r="J65" i="3"/>
  <c r="I65" i="3"/>
  <c r="K65" i="3" s="1"/>
  <c r="H65" i="3"/>
  <c r="X64" i="3"/>
  <c r="V64" i="3"/>
  <c r="W64" i="3" s="1"/>
  <c r="T64" i="3"/>
  <c r="U64" i="3" s="1"/>
  <c r="R64" i="3"/>
  <c r="S64" i="3" s="1"/>
  <c r="N64" i="3"/>
  <c r="Q64" i="3" s="1"/>
  <c r="M64" i="3"/>
  <c r="L64" i="3"/>
  <c r="J64" i="3"/>
  <c r="H64" i="3"/>
  <c r="I64" i="3" s="1"/>
  <c r="K64" i="3" s="1"/>
  <c r="X63" i="3"/>
  <c r="W63" i="3"/>
  <c r="V63" i="3"/>
  <c r="U63" i="3"/>
  <c r="T63" i="3"/>
  <c r="R63" i="3"/>
  <c r="O63" i="3"/>
  <c r="N63" i="3"/>
  <c r="Q63" i="3" s="1"/>
  <c r="M63" i="3"/>
  <c r="L63" i="3"/>
  <c r="K63" i="3"/>
  <c r="I63" i="3"/>
  <c r="H63" i="3"/>
  <c r="J63" i="3" s="1"/>
  <c r="X62" i="3"/>
  <c r="V62" i="3"/>
  <c r="W62" i="3" s="1"/>
  <c r="T62" i="3"/>
  <c r="U62" i="3" s="1"/>
  <c r="R62" i="3"/>
  <c r="S62" i="3" s="1"/>
  <c r="N62" i="3"/>
  <c r="Q62" i="3" s="1"/>
  <c r="M62" i="3"/>
  <c r="L62" i="3"/>
  <c r="H62" i="3"/>
  <c r="J62" i="3" s="1"/>
  <c r="X61" i="3"/>
  <c r="W61" i="3"/>
  <c r="V61" i="3"/>
  <c r="U61" i="3"/>
  <c r="T61" i="3"/>
  <c r="S61" i="3"/>
  <c r="R61" i="3"/>
  <c r="O61" i="3"/>
  <c r="N61" i="3"/>
  <c r="M61" i="3"/>
  <c r="L61" i="3"/>
  <c r="I61" i="3"/>
  <c r="K61" i="3" s="1"/>
  <c r="H61" i="3"/>
  <c r="J61" i="3" s="1"/>
  <c r="X60" i="3"/>
  <c r="V60" i="3"/>
  <c r="W60" i="3" s="1"/>
  <c r="T60" i="3"/>
  <c r="U60" i="3" s="1"/>
  <c r="R60" i="3"/>
  <c r="S60" i="3" s="1"/>
  <c r="N60" i="3"/>
  <c r="M60" i="3"/>
  <c r="L60" i="3"/>
  <c r="J60" i="3"/>
  <c r="H60" i="3"/>
  <c r="I60" i="3" s="1"/>
  <c r="K60" i="3" s="1"/>
  <c r="X59" i="3"/>
  <c r="W59" i="3"/>
  <c r="V59" i="3"/>
  <c r="U59" i="3"/>
  <c r="T59" i="3"/>
  <c r="S59" i="3"/>
  <c r="R59" i="3"/>
  <c r="O59" i="3"/>
  <c r="N59" i="3"/>
  <c r="M59" i="3"/>
  <c r="L59" i="3"/>
  <c r="I59" i="3"/>
  <c r="K59" i="3" s="1"/>
  <c r="H59" i="3"/>
  <c r="J59" i="3" s="1"/>
  <c r="X58" i="3"/>
  <c r="V58" i="3"/>
  <c r="W58" i="3" s="1"/>
  <c r="T58" i="3"/>
  <c r="U58" i="3" s="1"/>
  <c r="R58" i="3"/>
  <c r="S58" i="3" s="1"/>
  <c r="N58" i="3"/>
  <c r="M58" i="3"/>
  <c r="L58" i="3"/>
  <c r="H58" i="3"/>
  <c r="X57" i="3"/>
  <c r="W57" i="3"/>
  <c r="V57" i="3"/>
  <c r="U57" i="3"/>
  <c r="T57" i="3"/>
  <c r="S57" i="3"/>
  <c r="R57" i="3"/>
  <c r="Q57" i="3"/>
  <c r="N57" i="3"/>
  <c r="M57" i="3"/>
  <c r="L57" i="3"/>
  <c r="J57" i="3"/>
  <c r="I57" i="3"/>
  <c r="K57" i="3" s="1"/>
  <c r="H57" i="3"/>
  <c r="X56" i="3"/>
  <c r="V56" i="3"/>
  <c r="W56" i="3" s="1"/>
  <c r="T56" i="3"/>
  <c r="U56" i="3" s="1"/>
  <c r="R56" i="3"/>
  <c r="S56" i="3" s="1"/>
  <c r="N56" i="3"/>
  <c r="M56" i="3"/>
  <c r="L56" i="3"/>
  <c r="J56" i="3"/>
  <c r="H56" i="3"/>
  <c r="I56" i="3" s="1"/>
  <c r="X55" i="3"/>
  <c r="W55" i="3"/>
  <c r="V55" i="3"/>
  <c r="U55" i="3"/>
  <c r="T55" i="3"/>
  <c r="R55" i="3"/>
  <c r="O55" i="3"/>
  <c r="N55" i="3"/>
  <c r="Q55" i="3" s="1"/>
  <c r="M55" i="3"/>
  <c r="L55" i="3"/>
  <c r="I55" i="3"/>
  <c r="H55" i="3"/>
  <c r="J55" i="3" s="1"/>
  <c r="K55" i="3" s="1"/>
  <c r="X54" i="3"/>
  <c r="V54" i="3"/>
  <c r="W54" i="3" s="1"/>
  <c r="T54" i="3"/>
  <c r="U54" i="3" s="1"/>
  <c r="R54" i="3"/>
  <c r="S54" i="3" s="1"/>
  <c r="N54" i="3"/>
  <c r="Q54" i="3" s="1"/>
  <c r="M54" i="3"/>
  <c r="L54" i="3"/>
  <c r="H54" i="3"/>
  <c r="J54" i="3" s="1"/>
  <c r="X53" i="3"/>
  <c r="W53" i="3"/>
  <c r="V53" i="3"/>
  <c r="T53" i="3"/>
  <c r="S53" i="3"/>
  <c r="R53" i="3"/>
  <c r="O53" i="3"/>
  <c r="N53" i="3"/>
  <c r="M53" i="3"/>
  <c r="L53" i="3"/>
  <c r="I53" i="3"/>
  <c r="H53" i="3"/>
  <c r="J53" i="3" s="1"/>
  <c r="X52" i="3"/>
  <c r="V52" i="3"/>
  <c r="W52" i="3" s="1"/>
  <c r="T52" i="3"/>
  <c r="U52" i="3" s="1"/>
  <c r="R52" i="3"/>
  <c r="S52" i="3" s="1"/>
  <c r="N52" i="3"/>
  <c r="M52" i="3"/>
  <c r="L52" i="3"/>
  <c r="H52" i="3"/>
  <c r="J52" i="3" s="1"/>
  <c r="X51" i="3"/>
  <c r="W51" i="3"/>
  <c r="V51" i="3"/>
  <c r="U51" i="3"/>
  <c r="T51" i="3"/>
  <c r="S51" i="3"/>
  <c r="R51" i="3"/>
  <c r="O51" i="3"/>
  <c r="N51" i="3"/>
  <c r="M51" i="3"/>
  <c r="L51" i="3"/>
  <c r="I51" i="3"/>
  <c r="H51" i="3"/>
  <c r="J51" i="3" s="1"/>
  <c r="X50" i="3"/>
  <c r="V50" i="3"/>
  <c r="W50" i="3" s="1"/>
  <c r="T50" i="3"/>
  <c r="U50" i="3" s="1"/>
  <c r="R50" i="3"/>
  <c r="S50" i="3" s="1"/>
  <c r="N50" i="3"/>
  <c r="M50" i="3"/>
  <c r="L50" i="3"/>
  <c r="H50" i="3"/>
  <c r="X49" i="3"/>
  <c r="W49" i="3"/>
  <c r="V49" i="3"/>
  <c r="U49" i="3"/>
  <c r="T49" i="3"/>
  <c r="S49" i="3"/>
  <c r="R49" i="3"/>
  <c r="Q49" i="3"/>
  <c r="N49" i="3"/>
  <c r="M49" i="3"/>
  <c r="L49" i="3"/>
  <c r="J49" i="3"/>
  <c r="I49" i="3"/>
  <c r="K49" i="3" s="1"/>
  <c r="H49" i="3"/>
  <c r="X48" i="3"/>
  <c r="V48" i="3"/>
  <c r="W48" i="3" s="1"/>
  <c r="T48" i="3"/>
  <c r="U48" i="3" s="1"/>
  <c r="R48" i="3"/>
  <c r="S48" i="3" s="1"/>
  <c r="N48" i="3"/>
  <c r="M48" i="3"/>
  <c r="L48" i="3"/>
  <c r="J48" i="3"/>
  <c r="H48" i="3"/>
  <c r="I48" i="3" s="1"/>
  <c r="K48" i="3" s="1"/>
  <c r="X47" i="3"/>
  <c r="W47" i="3"/>
  <c r="V47" i="3"/>
  <c r="U47" i="3"/>
  <c r="T47" i="3"/>
  <c r="R47" i="3"/>
  <c r="O47" i="3"/>
  <c r="N47" i="3"/>
  <c r="Q47" i="3" s="1"/>
  <c r="M47" i="3"/>
  <c r="L47" i="3"/>
  <c r="K47" i="3"/>
  <c r="J47" i="3"/>
  <c r="I47" i="3"/>
  <c r="H47" i="3"/>
  <c r="X46" i="3"/>
  <c r="V46" i="3"/>
  <c r="W46" i="3" s="1"/>
  <c r="T46" i="3"/>
  <c r="U46" i="3" s="1"/>
  <c r="R46" i="3"/>
  <c r="S46" i="3" s="1"/>
  <c r="N46" i="3"/>
  <c r="M46" i="3"/>
  <c r="L46" i="3"/>
  <c r="H46" i="3"/>
  <c r="J46" i="3" s="1"/>
  <c r="X45" i="3"/>
  <c r="W45" i="3"/>
  <c r="V45" i="3"/>
  <c r="U45" i="3"/>
  <c r="T45" i="3"/>
  <c r="R45" i="3"/>
  <c r="S45" i="3" s="1"/>
  <c r="O45" i="3"/>
  <c r="N45" i="3"/>
  <c r="M45" i="3"/>
  <c r="L45" i="3"/>
  <c r="I45" i="3"/>
  <c r="H45" i="3"/>
  <c r="J45" i="3" s="1"/>
  <c r="X44" i="3"/>
  <c r="V44" i="3"/>
  <c r="W44" i="3" s="1"/>
  <c r="T44" i="3"/>
  <c r="U44" i="3" s="1"/>
  <c r="R44" i="3"/>
  <c r="S44" i="3" s="1"/>
  <c r="N44" i="3"/>
  <c r="O43" i="3" s="1"/>
  <c r="M44" i="3"/>
  <c r="L44" i="3"/>
  <c r="H44" i="3"/>
  <c r="J44" i="3" s="1"/>
  <c r="X43" i="3"/>
  <c r="W43" i="3"/>
  <c r="V43" i="3"/>
  <c r="T43" i="3"/>
  <c r="U43" i="3" s="1"/>
  <c r="S43" i="3"/>
  <c r="R43" i="3"/>
  <c r="N43" i="3"/>
  <c r="M43" i="3"/>
  <c r="L43" i="3"/>
  <c r="I43" i="3"/>
  <c r="H43" i="3"/>
  <c r="J43" i="3" s="1"/>
  <c r="X42" i="3"/>
  <c r="W42" i="3"/>
  <c r="V42" i="3"/>
  <c r="T42" i="3"/>
  <c r="U42" i="3" s="1"/>
  <c r="R42" i="3"/>
  <c r="S42" i="3" s="1"/>
  <c r="N42" i="3"/>
  <c r="M42" i="3"/>
  <c r="L42" i="3"/>
  <c r="H42" i="3"/>
  <c r="X41" i="3"/>
  <c r="V41" i="3"/>
  <c r="W41" i="3" s="1"/>
  <c r="U41" i="3"/>
  <c r="T41" i="3"/>
  <c r="S41" i="3"/>
  <c r="R41" i="3"/>
  <c r="Q41" i="3"/>
  <c r="N41" i="3"/>
  <c r="O41" i="3" s="1"/>
  <c r="M41" i="3"/>
  <c r="L41" i="3"/>
  <c r="J41" i="3"/>
  <c r="I41" i="3"/>
  <c r="K41" i="3" s="1"/>
  <c r="H41" i="3"/>
  <c r="X40" i="3"/>
  <c r="V40" i="3"/>
  <c r="W40" i="3" s="1"/>
  <c r="T40" i="3"/>
  <c r="U40" i="3" s="1"/>
  <c r="R40" i="3"/>
  <c r="N40" i="3"/>
  <c r="Q40" i="3" s="1"/>
  <c r="M40" i="3"/>
  <c r="L40" i="3"/>
  <c r="J40" i="3"/>
  <c r="K40" i="3" s="1"/>
  <c r="I40" i="3"/>
  <c r="H40" i="3"/>
  <c r="X39" i="3"/>
  <c r="Y39" i="3" s="1"/>
  <c r="V39" i="3"/>
  <c r="W39" i="3" s="1"/>
  <c r="T39" i="3"/>
  <c r="U39" i="3" s="1"/>
  <c r="R39" i="3"/>
  <c r="N39" i="3"/>
  <c r="M39" i="3"/>
  <c r="L39" i="3"/>
  <c r="H39" i="3"/>
  <c r="X38" i="3"/>
  <c r="Y38" i="3" s="1"/>
  <c r="V38" i="3"/>
  <c r="W38" i="3" s="1"/>
  <c r="T38" i="3"/>
  <c r="R38" i="3"/>
  <c r="S38" i="3" s="1"/>
  <c r="N38" i="3"/>
  <c r="M38" i="3"/>
  <c r="L38" i="3"/>
  <c r="H38" i="3"/>
  <c r="I38" i="3" s="1"/>
  <c r="X37" i="3"/>
  <c r="V37" i="3"/>
  <c r="T37" i="3"/>
  <c r="U37" i="3" s="1"/>
  <c r="R37" i="3"/>
  <c r="S37" i="3" s="1"/>
  <c r="P37" i="3"/>
  <c r="N37" i="3"/>
  <c r="O37" i="3" s="1"/>
  <c r="M37" i="3"/>
  <c r="L37" i="3"/>
  <c r="H37" i="3"/>
  <c r="I37" i="3" s="1"/>
  <c r="X36" i="3"/>
  <c r="Y36" i="3" s="1"/>
  <c r="V36" i="3"/>
  <c r="W36" i="3" s="1"/>
  <c r="T36" i="3"/>
  <c r="U36" i="3" s="1"/>
  <c r="R36" i="3"/>
  <c r="S36" i="3" s="1"/>
  <c r="N36" i="3"/>
  <c r="M36" i="3"/>
  <c r="L36" i="3"/>
  <c r="J36" i="3"/>
  <c r="H36" i="3"/>
  <c r="I36" i="3" s="1"/>
  <c r="K36" i="3" s="1"/>
  <c r="X35" i="3"/>
  <c r="Y35" i="3" s="1"/>
  <c r="V35" i="3"/>
  <c r="W35" i="3" s="1"/>
  <c r="T35" i="3"/>
  <c r="U35" i="3" s="1"/>
  <c r="R35" i="3"/>
  <c r="P35" i="3"/>
  <c r="N35" i="3"/>
  <c r="M35" i="3"/>
  <c r="L35" i="3"/>
  <c r="H35" i="3"/>
  <c r="X34" i="3"/>
  <c r="Y34" i="3" s="1"/>
  <c r="V34" i="3"/>
  <c r="W34" i="3" s="1"/>
  <c r="T34" i="3"/>
  <c r="R34" i="3"/>
  <c r="S34" i="3" s="1"/>
  <c r="N34" i="3"/>
  <c r="M34" i="3"/>
  <c r="L34" i="3"/>
  <c r="J34" i="3"/>
  <c r="H34" i="3"/>
  <c r="I34" i="3" s="1"/>
  <c r="K34" i="3" s="1"/>
  <c r="X33" i="3"/>
  <c r="V33" i="3"/>
  <c r="W33" i="3" s="1"/>
  <c r="T33" i="3"/>
  <c r="U33" i="3" s="1"/>
  <c r="R33" i="3"/>
  <c r="N33" i="3"/>
  <c r="O33" i="3" s="1"/>
  <c r="M33" i="3"/>
  <c r="L33" i="3"/>
  <c r="H33" i="3"/>
  <c r="I33" i="3" s="1"/>
  <c r="X32" i="3"/>
  <c r="V32" i="3"/>
  <c r="W32" i="3" s="1"/>
  <c r="T32" i="3"/>
  <c r="U32" i="3" s="1"/>
  <c r="R32" i="3"/>
  <c r="S32" i="3" s="1"/>
  <c r="N32" i="3"/>
  <c r="M32" i="3"/>
  <c r="L32" i="3"/>
  <c r="J32" i="3"/>
  <c r="H32" i="3"/>
  <c r="I32" i="3" s="1"/>
  <c r="K32" i="3" s="1"/>
  <c r="X31" i="3"/>
  <c r="Y31" i="3" s="1"/>
  <c r="V31" i="3"/>
  <c r="W31" i="3" s="1"/>
  <c r="T31" i="3"/>
  <c r="U31" i="3" s="1"/>
  <c r="R31" i="3"/>
  <c r="N31" i="3"/>
  <c r="P30" i="3" s="1"/>
  <c r="M31" i="3"/>
  <c r="L31" i="3"/>
  <c r="H31" i="3"/>
  <c r="Y30" i="3"/>
  <c r="X30" i="3"/>
  <c r="V30" i="3"/>
  <c r="W30" i="3" s="1"/>
  <c r="T30" i="3"/>
  <c r="R30" i="3"/>
  <c r="S30" i="3" s="1"/>
  <c r="Q30" i="3"/>
  <c r="O30" i="3"/>
  <c r="N30" i="3"/>
  <c r="M30" i="3"/>
  <c r="L30" i="3"/>
  <c r="H30" i="3"/>
  <c r="J30" i="3" s="1"/>
  <c r="X29" i="3"/>
  <c r="Y29" i="3" s="1"/>
  <c r="V29" i="3"/>
  <c r="T29" i="3"/>
  <c r="U29" i="3" s="1"/>
  <c r="R29" i="3"/>
  <c r="S29" i="3" s="1"/>
  <c r="Q29" i="3"/>
  <c r="P29" i="3"/>
  <c r="N29" i="3"/>
  <c r="M29" i="3"/>
  <c r="L29" i="3"/>
  <c r="H29" i="3"/>
  <c r="J29" i="3" s="1"/>
  <c r="X28" i="3"/>
  <c r="V28" i="3"/>
  <c r="W28" i="3" s="1"/>
  <c r="U28" i="3"/>
  <c r="T28" i="3"/>
  <c r="R28" i="3"/>
  <c r="S28" i="3" s="1"/>
  <c r="N28" i="3"/>
  <c r="P26" i="3" s="1"/>
  <c r="M28" i="3"/>
  <c r="L28" i="3"/>
  <c r="H28" i="3"/>
  <c r="I28" i="3" s="1"/>
  <c r="X27" i="3"/>
  <c r="V27" i="3"/>
  <c r="W27" i="3" s="1"/>
  <c r="U27" i="3"/>
  <c r="T27" i="3"/>
  <c r="R27" i="3"/>
  <c r="S27" i="3" s="1"/>
  <c r="N27" i="3"/>
  <c r="M27" i="3"/>
  <c r="L27" i="3"/>
  <c r="J27" i="3"/>
  <c r="H27" i="3"/>
  <c r="I27" i="3" s="1"/>
  <c r="Y26" i="3"/>
  <c r="X26" i="3"/>
  <c r="V26" i="3"/>
  <c r="W26" i="3" s="1"/>
  <c r="T26" i="3"/>
  <c r="U26" i="3" s="1"/>
  <c r="R26" i="3"/>
  <c r="Q26" i="3"/>
  <c r="O26" i="3"/>
  <c r="N26" i="3"/>
  <c r="M26" i="3"/>
  <c r="L26" i="3"/>
  <c r="H26" i="3"/>
  <c r="J26" i="3" s="1"/>
  <c r="X25" i="3"/>
  <c r="Y25" i="3" s="1"/>
  <c r="V25" i="3"/>
  <c r="T25" i="3"/>
  <c r="R25" i="3"/>
  <c r="S25" i="3" s="1"/>
  <c r="Q25" i="3"/>
  <c r="P25" i="3"/>
  <c r="N25" i="3"/>
  <c r="M25" i="3"/>
  <c r="L25" i="3"/>
  <c r="H25" i="3"/>
  <c r="J25" i="3" s="1"/>
  <c r="X24" i="3"/>
  <c r="V24" i="3"/>
  <c r="W24" i="3" s="1"/>
  <c r="U24" i="3"/>
  <c r="T24" i="3"/>
  <c r="R24" i="3"/>
  <c r="S24" i="3" s="1"/>
  <c r="N24" i="3"/>
  <c r="O24" i="3" s="1"/>
  <c r="M24" i="3"/>
  <c r="L24" i="3"/>
  <c r="H24" i="3"/>
  <c r="J24" i="3" s="1"/>
  <c r="X23" i="3"/>
  <c r="Y23" i="3" s="1"/>
  <c r="W23" i="3"/>
  <c r="V23" i="3"/>
  <c r="U23" i="3"/>
  <c r="T23" i="3"/>
  <c r="R23" i="3"/>
  <c r="S23" i="3" s="1"/>
  <c r="O23" i="3"/>
  <c r="N23" i="3"/>
  <c r="M23" i="3"/>
  <c r="L23" i="3"/>
  <c r="H23" i="3"/>
  <c r="J23" i="3" s="1"/>
  <c r="Y22" i="3"/>
  <c r="X22" i="3"/>
  <c r="W22" i="3"/>
  <c r="V22" i="3"/>
  <c r="T22" i="3"/>
  <c r="U22" i="3" s="1"/>
  <c r="R22" i="3"/>
  <c r="S22" i="3" s="1"/>
  <c r="Q22" i="3"/>
  <c r="O22" i="3"/>
  <c r="N22" i="3"/>
  <c r="M22" i="3"/>
  <c r="L22" i="3"/>
  <c r="J22" i="3"/>
  <c r="I22" i="3"/>
  <c r="K22" i="3" s="1"/>
  <c r="H22" i="3"/>
  <c r="Y21" i="3"/>
  <c r="X21" i="3"/>
  <c r="V21" i="3"/>
  <c r="W21" i="3" s="1"/>
  <c r="T21" i="3"/>
  <c r="U21" i="3" s="1"/>
  <c r="S21" i="3"/>
  <c r="R21" i="3"/>
  <c r="Q21" i="3"/>
  <c r="N21" i="3"/>
  <c r="P21" i="3" s="1"/>
  <c r="M21" i="3"/>
  <c r="L21" i="3"/>
  <c r="J21" i="3"/>
  <c r="I21" i="3"/>
  <c r="K21" i="3" s="1"/>
  <c r="H21" i="3"/>
  <c r="X20" i="3"/>
  <c r="Y20" i="3" s="1"/>
  <c r="V20" i="3"/>
  <c r="W20" i="3" s="1"/>
  <c r="U20" i="3"/>
  <c r="T20" i="3"/>
  <c r="S20" i="3"/>
  <c r="R20" i="3"/>
  <c r="N20" i="3"/>
  <c r="Q20" i="3" s="1"/>
  <c r="M20" i="3"/>
  <c r="L20" i="3"/>
  <c r="H20" i="3"/>
  <c r="J20" i="3" s="1"/>
  <c r="X19" i="3"/>
  <c r="Y19" i="3" s="1"/>
  <c r="W19" i="3"/>
  <c r="V19" i="3"/>
  <c r="U19" i="3"/>
  <c r="T19" i="3"/>
  <c r="R19" i="3"/>
  <c r="S19" i="3" s="1"/>
  <c r="P19" i="3"/>
  <c r="O19" i="3"/>
  <c r="N19" i="3"/>
  <c r="Q19" i="3" s="1"/>
  <c r="M19" i="3"/>
  <c r="L19" i="3"/>
  <c r="H19" i="3"/>
  <c r="J19" i="3" s="1"/>
  <c r="X18" i="3"/>
  <c r="W18" i="3"/>
  <c r="V18" i="3"/>
  <c r="T18" i="3"/>
  <c r="U18" i="3" s="1"/>
  <c r="R18" i="3"/>
  <c r="S18" i="3" s="1"/>
  <c r="Q18" i="3"/>
  <c r="O18" i="3"/>
  <c r="N18" i="3"/>
  <c r="M18" i="3"/>
  <c r="L18" i="3"/>
  <c r="J18" i="3"/>
  <c r="I18" i="3"/>
  <c r="K18" i="3" s="1"/>
  <c r="H18" i="3"/>
  <c r="Y17" i="3"/>
  <c r="X17" i="3"/>
  <c r="V17" i="3"/>
  <c r="W17" i="3" s="1"/>
  <c r="T17" i="3"/>
  <c r="U17" i="3" s="1"/>
  <c r="S17" i="3"/>
  <c r="R17" i="3"/>
  <c r="Q17" i="3"/>
  <c r="N17" i="3"/>
  <c r="P17" i="3" s="1"/>
  <c r="M17" i="3"/>
  <c r="L17" i="3"/>
  <c r="J17" i="3"/>
  <c r="I17" i="3"/>
  <c r="K17" i="3" s="1"/>
  <c r="H17" i="3"/>
  <c r="X16" i="3"/>
  <c r="Y16" i="3" s="1"/>
  <c r="V16" i="3"/>
  <c r="W16" i="3" s="1"/>
  <c r="U16" i="3"/>
  <c r="T16" i="3"/>
  <c r="S16" i="3"/>
  <c r="R16" i="3"/>
  <c r="N16" i="3"/>
  <c r="Q16" i="3" s="1"/>
  <c r="M16" i="3"/>
  <c r="L16" i="3"/>
  <c r="H16" i="3"/>
  <c r="J16" i="3" s="1"/>
  <c r="X15" i="3"/>
  <c r="Y15" i="3" s="1"/>
  <c r="V15" i="3"/>
  <c r="U15" i="3"/>
  <c r="T15" i="3"/>
  <c r="R15" i="3"/>
  <c r="S15" i="3" s="1"/>
  <c r="P15" i="3"/>
  <c r="N15" i="3"/>
  <c r="Q15" i="3" s="1"/>
  <c r="M15" i="3"/>
  <c r="L15" i="3"/>
  <c r="H15" i="3"/>
  <c r="J15" i="3" s="1"/>
  <c r="X14" i="3"/>
  <c r="W14" i="3"/>
  <c r="V14" i="3"/>
  <c r="T14" i="3"/>
  <c r="U14" i="3" s="1"/>
  <c r="R14" i="3"/>
  <c r="S14" i="3" s="1"/>
  <c r="Q14" i="3"/>
  <c r="O14" i="3"/>
  <c r="N14" i="3"/>
  <c r="M14" i="3"/>
  <c r="L14" i="3"/>
  <c r="J14" i="3"/>
  <c r="I14" i="3"/>
  <c r="K14" i="3" s="1"/>
  <c r="H14" i="3"/>
  <c r="Y13" i="3"/>
  <c r="X13" i="3"/>
  <c r="V13" i="3"/>
  <c r="W13" i="3" s="1"/>
  <c r="T13" i="3"/>
  <c r="U13" i="3" s="1"/>
  <c r="R13" i="3"/>
  <c r="Q13" i="3"/>
  <c r="N13" i="3"/>
  <c r="P13" i="3" s="1"/>
  <c r="M13" i="3"/>
  <c r="L13" i="3"/>
  <c r="J13" i="3"/>
  <c r="I13" i="3"/>
  <c r="K13" i="3" s="1"/>
  <c r="H13" i="3"/>
  <c r="X12" i="3"/>
  <c r="Y12" i="3" s="1"/>
  <c r="V12" i="3"/>
  <c r="W12" i="3" s="1"/>
  <c r="T12" i="3"/>
  <c r="S12" i="3"/>
  <c r="R12" i="3"/>
  <c r="N12" i="3"/>
  <c r="Q12" i="3" s="1"/>
  <c r="M12" i="3"/>
  <c r="L12" i="3"/>
  <c r="H12" i="3"/>
  <c r="J12" i="3" s="1"/>
  <c r="X11" i="3"/>
  <c r="Y11" i="3" s="1"/>
  <c r="V11" i="3"/>
  <c r="U11" i="3"/>
  <c r="T11" i="3"/>
  <c r="R11" i="3"/>
  <c r="S11" i="3" s="1"/>
  <c r="P11" i="3"/>
  <c r="N11" i="3"/>
  <c r="Q11" i="3" s="1"/>
  <c r="M11" i="3"/>
  <c r="L11" i="3"/>
  <c r="H11" i="3"/>
  <c r="J11" i="3" s="1"/>
  <c r="X10" i="3"/>
  <c r="Y10" i="3" s="1"/>
  <c r="W10" i="3"/>
  <c r="V10" i="3"/>
  <c r="T10" i="3"/>
  <c r="U10" i="3" s="1"/>
  <c r="R10" i="3"/>
  <c r="S10" i="3" s="1"/>
  <c r="P10" i="3"/>
  <c r="O10" i="3"/>
  <c r="N10" i="3"/>
  <c r="M10" i="3"/>
  <c r="L10" i="3"/>
  <c r="H10" i="3"/>
  <c r="J10" i="3" s="1"/>
  <c r="Y9" i="3"/>
  <c r="X9" i="3"/>
  <c r="V9" i="3"/>
  <c r="W9" i="3" s="1"/>
  <c r="T9" i="3"/>
  <c r="U9" i="3" s="1"/>
  <c r="R9" i="3"/>
  <c r="S9" i="3" s="1"/>
  <c r="Q9" i="3"/>
  <c r="N9" i="3"/>
  <c r="P9" i="3" s="1"/>
  <c r="M9" i="3"/>
  <c r="L9" i="3"/>
  <c r="J9" i="3"/>
  <c r="I9" i="3"/>
  <c r="K9" i="3" s="1"/>
  <c r="H9" i="3"/>
  <c r="X8" i="3"/>
  <c r="Y8" i="3" s="1"/>
  <c r="V8" i="3"/>
  <c r="W8" i="3" s="1"/>
  <c r="T8" i="3"/>
  <c r="U8" i="3" s="1"/>
  <c r="S8" i="3"/>
  <c r="R8" i="3"/>
  <c r="N8" i="3"/>
  <c r="Q8" i="3" s="1"/>
  <c r="M8" i="3"/>
  <c r="L8" i="3"/>
  <c r="H8" i="3"/>
  <c r="J8" i="3" s="1"/>
  <c r="X7" i="3"/>
  <c r="Y7" i="3" s="1"/>
  <c r="V7" i="3"/>
  <c r="W7" i="3" s="1"/>
  <c r="U7" i="3"/>
  <c r="T7" i="3"/>
  <c r="R7" i="3"/>
  <c r="S7" i="3" s="1"/>
  <c r="N7" i="3"/>
  <c r="Q7" i="3" s="1"/>
  <c r="M7" i="3"/>
  <c r="L7" i="3"/>
  <c r="H7" i="3"/>
  <c r="J7" i="3" s="1"/>
  <c r="X6" i="3"/>
  <c r="Y6" i="3" s="1"/>
  <c r="W6" i="3"/>
  <c r="V6" i="3"/>
  <c r="T6" i="3"/>
  <c r="U6" i="3" s="1"/>
  <c r="R6" i="3"/>
  <c r="S6" i="3" s="1"/>
  <c r="P6" i="3"/>
  <c r="O6" i="3"/>
  <c r="N6" i="3"/>
  <c r="M6" i="3"/>
  <c r="L6" i="3"/>
  <c r="H6" i="3"/>
  <c r="J6" i="3" s="1"/>
  <c r="Y5" i="3"/>
  <c r="X5" i="3"/>
  <c r="V5" i="3"/>
  <c r="W5" i="3" s="1"/>
  <c r="T5" i="3"/>
  <c r="U5" i="3" s="1"/>
  <c r="R5" i="3"/>
  <c r="S5" i="3" s="1"/>
  <c r="Q5" i="3"/>
  <c r="N5" i="3"/>
  <c r="P5" i="3" s="1"/>
  <c r="M5" i="3"/>
  <c r="L5" i="3"/>
  <c r="J5" i="3"/>
  <c r="I5" i="3"/>
  <c r="K5" i="3" s="1"/>
  <c r="H5" i="3"/>
  <c r="X4" i="3"/>
  <c r="Y4" i="3" s="1"/>
  <c r="V4" i="3"/>
  <c r="W4" i="3" s="1"/>
  <c r="T4" i="3"/>
  <c r="U4" i="3" s="1"/>
  <c r="S4" i="3"/>
  <c r="R4" i="3"/>
  <c r="N4" i="3"/>
  <c r="Q4" i="3" s="1"/>
  <c r="M4" i="3"/>
  <c r="L4" i="3"/>
  <c r="H4" i="3"/>
  <c r="J4" i="3" s="1"/>
  <c r="X3" i="3"/>
  <c r="Y3" i="3" s="1"/>
  <c r="V3" i="3"/>
  <c r="W3" i="3" s="1"/>
  <c r="U3" i="3"/>
  <c r="T3" i="3"/>
  <c r="R3" i="3"/>
  <c r="S3" i="3" s="1"/>
  <c r="N3" i="3"/>
  <c r="Q3" i="3" s="1"/>
  <c r="M3" i="3"/>
  <c r="L3" i="3"/>
  <c r="H3" i="3"/>
  <c r="J3" i="3" s="1"/>
  <c r="X2" i="3"/>
  <c r="Y2" i="3" s="1"/>
  <c r="W2" i="3"/>
  <c r="V2" i="3"/>
  <c r="T2" i="3"/>
  <c r="U2" i="3" s="1"/>
  <c r="R2" i="3"/>
  <c r="S2" i="3" s="1"/>
  <c r="P2" i="3"/>
  <c r="O2" i="3"/>
  <c r="N2" i="3"/>
  <c r="M2" i="3"/>
  <c r="L2" i="3"/>
  <c r="H2" i="3"/>
  <c r="J2" i="3" s="1"/>
  <c r="U269" i="2"/>
  <c r="T269" i="2"/>
  <c r="R269" i="2"/>
  <c r="P269" i="2"/>
  <c r="O269" i="2"/>
  <c r="T268" i="2"/>
  <c r="U268" i="2" s="1"/>
  <c r="R268" i="2"/>
  <c r="P268" i="2"/>
  <c r="O268" i="2"/>
  <c r="T267" i="2"/>
  <c r="R267" i="2"/>
  <c r="S267" i="2" s="1"/>
  <c r="P267" i="2"/>
  <c r="O267" i="2"/>
  <c r="T266" i="2"/>
  <c r="R266" i="2"/>
  <c r="S266" i="2" s="1"/>
  <c r="P266" i="2"/>
  <c r="O266" i="2"/>
  <c r="T265" i="2"/>
  <c r="R265" i="2"/>
  <c r="P265" i="2"/>
  <c r="O265" i="2"/>
  <c r="T264" i="2"/>
  <c r="U264" i="2" s="1"/>
  <c r="R264" i="2"/>
  <c r="P264" i="2"/>
  <c r="O264" i="2"/>
  <c r="T263" i="2"/>
  <c r="R263" i="2"/>
  <c r="S263" i="2" s="1"/>
  <c r="P263" i="2"/>
  <c r="O263" i="2"/>
  <c r="T262" i="2"/>
  <c r="R262" i="2"/>
  <c r="S262" i="2" s="1"/>
  <c r="P262" i="2"/>
  <c r="O262" i="2"/>
  <c r="T261" i="2"/>
  <c r="R261" i="2"/>
  <c r="P261" i="2"/>
  <c r="O261" i="2"/>
  <c r="T260" i="2"/>
  <c r="U260" i="2" s="1"/>
  <c r="R260" i="2"/>
  <c r="P260" i="2"/>
  <c r="O260" i="2"/>
  <c r="T259" i="2"/>
  <c r="R259" i="2"/>
  <c r="S259" i="2" s="1"/>
  <c r="P259" i="2"/>
  <c r="O259" i="2"/>
  <c r="T258" i="2"/>
  <c r="R258" i="2"/>
  <c r="S258" i="2" s="1"/>
  <c r="P258" i="2"/>
  <c r="O258" i="2"/>
  <c r="T257" i="2"/>
  <c r="R257" i="2"/>
  <c r="P257" i="2"/>
  <c r="O257" i="2"/>
  <c r="T256" i="2"/>
  <c r="U256" i="2" s="1"/>
  <c r="R256" i="2"/>
  <c r="P256" i="2"/>
  <c r="O256" i="2"/>
  <c r="T255" i="2"/>
  <c r="R255" i="2"/>
  <c r="S255" i="2" s="1"/>
  <c r="P255" i="2"/>
  <c r="O255" i="2"/>
  <c r="T254" i="2"/>
  <c r="R254" i="2"/>
  <c r="S254" i="2" s="1"/>
  <c r="P254" i="2"/>
  <c r="O254" i="2"/>
  <c r="T253" i="2"/>
  <c r="R253" i="2"/>
  <c r="P253" i="2"/>
  <c r="O253" i="2"/>
  <c r="T252" i="2"/>
  <c r="U252" i="2" s="1"/>
  <c r="R252" i="2"/>
  <c r="P252" i="2"/>
  <c r="O252" i="2"/>
  <c r="T251" i="2"/>
  <c r="R251" i="2"/>
  <c r="S251" i="2" s="1"/>
  <c r="P251" i="2"/>
  <c r="O251" i="2"/>
  <c r="T250" i="2"/>
  <c r="R250" i="2"/>
  <c r="P250" i="2"/>
  <c r="O250" i="2"/>
  <c r="T249" i="2"/>
  <c r="R249" i="2"/>
  <c r="P249" i="2"/>
  <c r="O249" i="2"/>
  <c r="T248" i="2"/>
  <c r="U248" i="2" s="1"/>
  <c r="R248" i="2"/>
  <c r="P248" i="2"/>
  <c r="O248" i="2"/>
  <c r="T247" i="2"/>
  <c r="R247" i="2"/>
  <c r="S247" i="2" s="1"/>
  <c r="P247" i="2"/>
  <c r="O247" i="2"/>
  <c r="T246" i="2"/>
  <c r="R246" i="2"/>
  <c r="P246" i="2"/>
  <c r="O246" i="2"/>
  <c r="T245" i="2"/>
  <c r="R245" i="2"/>
  <c r="P245" i="2"/>
  <c r="O245" i="2"/>
  <c r="T244" i="2"/>
  <c r="U244" i="2" s="1"/>
  <c r="R244" i="2"/>
  <c r="P244" i="2"/>
  <c r="O244" i="2"/>
  <c r="T243" i="2"/>
  <c r="R243" i="2"/>
  <c r="S243" i="2" s="1"/>
  <c r="P243" i="2"/>
  <c r="O243" i="2"/>
  <c r="T242" i="2"/>
  <c r="R242" i="2"/>
  <c r="P242" i="2"/>
  <c r="O242" i="2"/>
  <c r="T241" i="2"/>
  <c r="R241" i="2"/>
  <c r="P241" i="2"/>
  <c r="O241" i="2"/>
  <c r="T240" i="2"/>
  <c r="U240" i="2" s="1"/>
  <c r="R240" i="2"/>
  <c r="P240" i="2"/>
  <c r="O240" i="2"/>
  <c r="T239" i="2"/>
  <c r="R239" i="2"/>
  <c r="S239" i="2" s="1"/>
  <c r="P239" i="2"/>
  <c r="O239" i="2"/>
  <c r="T238" i="2"/>
  <c r="R238" i="2"/>
  <c r="P238" i="2"/>
  <c r="O238" i="2"/>
  <c r="T237" i="2"/>
  <c r="R237" i="2"/>
  <c r="P237" i="2"/>
  <c r="O237" i="2"/>
  <c r="T236" i="2"/>
  <c r="U236" i="2" s="1"/>
  <c r="R236" i="2"/>
  <c r="P236" i="2"/>
  <c r="O236" i="2"/>
  <c r="T235" i="2"/>
  <c r="R235" i="2"/>
  <c r="S235" i="2" s="1"/>
  <c r="P235" i="2"/>
  <c r="O235" i="2"/>
  <c r="T234" i="2"/>
  <c r="R234" i="2"/>
  <c r="P234" i="2"/>
  <c r="O234" i="2"/>
  <c r="T233" i="2"/>
  <c r="R233" i="2"/>
  <c r="P233" i="2"/>
  <c r="O233" i="2"/>
  <c r="T232" i="2"/>
  <c r="U232" i="2" s="1"/>
  <c r="R232" i="2"/>
  <c r="P232" i="2"/>
  <c r="O232" i="2"/>
  <c r="T231" i="2"/>
  <c r="R231" i="2"/>
  <c r="S231" i="2" s="1"/>
  <c r="P231" i="2"/>
  <c r="O231" i="2"/>
  <c r="T230" i="2"/>
  <c r="R230" i="2"/>
  <c r="P230" i="2"/>
  <c r="O230" i="2"/>
  <c r="T229" i="2"/>
  <c r="R229" i="2"/>
  <c r="P229" i="2"/>
  <c r="O229" i="2"/>
  <c r="T228" i="2"/>
  <c r="U228" i="2" s="1"/>
  <c r="R228" i="2"/>
  <c r="P228" i="2"/>
  <c r="O228" i="2"/>
  <c r="T227" i="2"/>
  <c r="R227" i="2"/>
  <c r="S227" i="2" s="1"/>
  <c r="P227" i="2"/>
  <c r="O227" i="2"/>
  <c r="T226" i="2"/>
  <c r="R226" i="2"/>
  <c r="P226" i="2"/>
  <c r="O226" i="2"/>
  <c r="T225" i="2"/>
  <c r="R225" i="2"/>
  <c r="P225" i="2"/>
  <c r="O225" i="2"/>
  <c r="T224" i="2"/>
  <c r="U224" i="2" s="1"/>
  <c r="R224" i="2"/>
  <c r="P224" i="2"/>
  <c r="O224" i="2"/>
  <c r="T223" i="2"/>
  <c r="R223" i="2"/>
  <c r="S223" i="2" s="1"/>
  <c r="P223" i="2"/>
  <c r="O223" i="2"/>
  <c r="T222" i="2"/>
  <c r="R222" i="2"/>
  <c r="P222" i="2"/>
  <c r="O222" i="2"/>
  <c r="T221" i="2"/>
  <c r="R221" i="2"/>
  <c r="P221" i="2"/>
  <c r="O221" i="2"/>
  <c r="T220" i="2"/>
  <c r="U220" i="2" s="1"/>
  <c r="R220" i="2"/>
  <c r="P220" i="2"/>
  <c r="O220" i="2"/>
  <c r="T219" i="2"/>
  <c r="R219" i="2"/>
  <c r="S219" i="2" s="1"/>
  <c r="P219" i="2"/>
  <c r="O219" i="2"/>
  <c r="T218" i="2"/>
  <c r="R218" i="2"/>
  <c r="P218" i="2"/>
  <c r="O218" i="2"/>
  <c r="T217" i="2"/>
  <c r="R217" i="2"/>
  <c r="P217" i="2"/>
  <c r="O217" i="2"/>
  <c r="T216" i="2"/>
  <c r="U216" i="2" s="1"/>
  <c r="R216" i="2"/>
  <c r="P216" i="2"/>
  <c r="O216" i="2"/>
  <c r="T215" i="2"/>
  <c r="R215" i="2"/>
  <c r="S215" i="2" s="1"/>
  <c r="P215" i="2"/>
  <c r="O215" i="2"/>
  <c r="T214" i="2"/>
  <c r="R214" i="2"/>
  <c r="P214" i="2"/>
  <c r="O214" i="2"/>
  <c r="T213" i="2"/>
  <c r="R213" i="2"/>
  <c r="P213" i="2"/>
  <c r="O213" i="2"/>
  <c r="T212" i="2"/>
  <c r="U212" i="2" s="1"/>
  <c r="R212" i="2"/>
  <c r="P212" i="2"/>
  <c r="O212" i="2"/>
  <c r="T211" i="2"/>
  <c r="R211" i="2"/>
  <c r="S211" i="2" s="1"/>
  <c r="P211" i="2"/>
  <c r="O211" i="2"/>
  <c r="T210" i="2"/>
  <c r="R210" i="2"/>
  <c r="P210" i="2"/>
  <c r="O210" i="2"/>
  <c r="T209" i="2"/>
  <c r="R209" i="2"/>
  <c r="P209" i="2"/>
  <c r="O209" i="2"/>
  <c r="T208" i="2"/>
  <c r="U208" i="2" s="1"/>
  <c r="R208" i="2"/>
  <c r="P208" i="2"/>
  <c r="O208" i="2"/>
  <c r="T207" i="2"/>
  <c r="R207" i="2"/>
  <c r="S207" i="2" s="1"/>
  <c r="P207" i="2"/>
  <c r="O207" i="2"/>
  <c r="T206" i="2"/>
  <c r="R206" i="2"/>
  <c r="P206" i="2"/>
  <c r="O206" i="2"/>
  <c r="T205" i="2"/>
  <c r="R205" i="2"/>
  <c r="P205" i="2"/>
  <c r="O205" i="2"/>
  <c r="T204" i="2"/>
  <c r="U204" i="2" s="1"/>
  <c r="R204" i="2"/>
  <c r="P204" i="2"/>
  <c r="O204" i="2"/>
  <c r="T203" i="2"/>
  <c r="R203" i="2"/>
  <c r="S203" i="2" s="1"/>
  <c r="P203" i="2"/>
  <c r="O203" i="2"/>
  <c r="T202" i="2"/>
  <c r="U202" i="2" s="1"/>
  <c r="R202" i="2"/>
  <c r="P202" i="2"/>
  <c r="O202" i="2"/>
  <c r="X201" i="2"/>
  <c r="W201" i="2"/>
  <c r="V201" i="2"/>
  <c r="T201" i="2"/>
  <c r="R201" i="2"/>
  <c r="S201" i="2" s="1"/>
  <c r="Q201" i="2"/>
  <c r="P201" i="2"/>
  <c r="O201" i="2"/>
  <c r="N201" i="2"/>
  <c r="M201" i="2"/>
  <c r="L201" i="2"/>
  <c r="J201" i="2"/>
  <c r="I201" i="2"/>
  <c r="K201" i="2" s="1"/>
  <c r="H201" i="2"/>
  <c r="X200" i="2"/>
  <c r="V200" i="2"/>
  <c r="W200" i="2" s="1"/>
  <c r="T200" i="2"/>
  <c r="U200" i="2" s="1"/>
  <c r="R200" i="2"/>
  <c r="S200" i="2" s="1"/>
  <c r="N200" i="2"/>
  <c r="M200" i="2"/>
  <c r="L200" i="2"/>
  <c r="J200" i="2"/>
  <c r="K200" i="2" s="1"/>
  <c r="I200" i="2"/>
  <c r="H200" i="2"/>
  <c r="X199" i="2"/>
  <c r="W199" i="2"/>
  <c r="V199" i="2"/>
  <c r="T199" i="2"/>
  <c r="U199" i="2" s="1"/>
  <c r="S199" i="2"/>
  <c r="R199" i="2"/>
  <c r="O199" i="2"/>
  <c r="N199" i="2"/>
  <c r="M199" i="2"/>
  <c r="L199" i="2"/>
  <c r="K199" i="2"/>
  <c r="J199" i="2"/>
  <c r="I199" i="2"/>
  <c r="H199" i="2"/>
  <c r="X198" i="2"/>
  <c r="V198" i="2"/>
  <c r="W198" i="2" s="1"/>
  <c r="T198" i="2"/>
  <c r="U198" i="2" s="1"/>
  <c r="S198" i="2"/>
  <c r="R198" i="2"/>
  <c r="P198" i="2"/>
  <c r="N198" i="2"/>
  <c r="Q198" i="2" s="1"/>
  <c r="M198" i="2"/>
  <c r="L198" i="2"/>
  <c r="H198" i="2"/>
  <c r="X197" i="2"/>
  <c r="V197" i="2"/>
  <c r="W197" i="2" s="1"/>
  <c r="T197" i="2"/>
  <c r="S197" i="2"/>
  <c r="R197" i="2"/>
  <c r="Q197" i="2"/>
  <c r="N197" i="2"/>
  <c r="P197" i="2" s="1"/>
  <c r="M197" i="2"/>
  <c r="L197" i="2"/>
  <c r="J197" i="2"/>
  <c r="I197" i="2"/>
  <c r="K197" i="2" s="1"/>
  <c r="H197" i="2"/>
  <c r="X196" i="2"/>
  <c r="V196" i="2"/>
  <c r="W196" i="2" s="1"/>
  <c r="U196" i="2"/>
  <c r="T196" i="2"/>
  <c r="R196" i="2"/>
  <c r="S196" i="2" s="1"/>
  <c r="N196" i="2"/>
  <c r="M196" i="2"/>
  <c r="L196" i="2"/>
  <c r="J196" i="2"/>
  <c r="I196" i="2"/>
  <c r="H196" i="2"/>
  <c r="X195" i="2"/>
  <c r="W195" i="2"/>
  <c r="V195" i="2"/>
  <c r="U195" i="2"/>
  <c r="T195" i="2"/>
  <c r="S195" i="2"/>
  <c r="R195" i="2"/>
  <c r="O195" i="2"/>
  <c r="N195" i="2"/>
  <c r="O193" i="2" s="1"/>
  <c r="M195" i="2"/>
  <c r="L195" i="2"/>
  <c r="H195" i="2"/>
  <c r="J195" i="2" s="1"/>
  <c r="X194" i="2"/>
  <c r="W194" i="2"/>
  <c r="V194" i="2"/>
  <c r="T194" i="2"/>
  <c r="U194" i="2" s="1"/>
  <c r="S194" i="2"/>
  <c r="R194" i="2"/>
  <c r="P194" i="2"/>
  <c r="N194" i="2"/>
  <c r="M194" i="2"/>
  <c r="L194" i="2"/>
  <c r="H194" i="2"/>
  <c r="X193" i="2"/>
  <c r="W193" i="2"/>
  <c r="V193" i="2"/>
  <c r="U193" i="2"/>
  <c r="T193" i="2"/>
  <c r="R193" i="2"/>
  <c r="S193" i="2" s="1"/>
  <c r="Q193" i="2"/>
  <c r="N193" i="2"/>
  <c r="M193" i="2"/>
  <c r="L193" i="2"/>
  <c r="J193" i="2"/>
  <c r="I193" i="2"/>
  <c r="K193" i="2" s="1"/>
  <c r="H193" i="2"/>
  <c r="X192" i="2"/>
  <c r="V192" i="2"/>
  <c r="W192" i="2" s="1"/>
  <c r="U192" i="2"/>
  <c r="T192" i="2"/>
  <c r="R192" i="2"/>
  <c r="S192" i="2" s="1"/>
  <c r="N192" i="2"/>
  <c r="M192" i="2"/>
  <c r="L192" i="2"/>
  <c r="J192" i="2"/>
  <c r="K192" i="2" s="1"/>
  <c r="I192" i="2"/>
  <c r="H192" i="2"/>
  <c r="X191" i="2"/>
  <c r="W191" i="2"/>
  <c r="V191" i="2"/>
  <c r="T191" i="2"/>
  <c r="U191" i="2" s="1"/>
  <c r="S191" i="2"/>
  <c r="R191" i="2"/>
  <c r="O191" i="2"/>
  <c r="N191" i="2"/>
  <c r="Q191" i="2" s="1"/>
  <c r="M191" i="2"/>
  <c r="L191" i="2"/>
  <c r="K191" i="2"/>
  <c r="J191" i="2"/>
  <c r="I191" i="2"/>
  <c r="H191" i="2"/>
  <c r="X190" i="2"/>
  <c r="W190" i="2"/>
  <c r="V190" i="2"/>
  <c r="T190" i="2"/>
  <c r="U190" i="2" s="1"/>
  <c r="S190" i="2"/>
  <c r="R190" i="2"/>
  <c r="P190" i="2"/>
  <c r="N190" i="2"/>
  <c r="Q190" i="2" s="1"/>
  <c r="M190" i="2"/>
  <c r="L190" i="2"/>
  <c r="H190" i="2"/>
  <c r="X189" i="2"/>
  <c r="V189" i="2"/>
  <c r="W189" i="2" s="1"/>
  <c r="U189" i="2"/>
  <c r="T189" i="2"/>
  <c r="S189" i="2"/>
  <c r="R189" i="2"/>
  <c r="Q189" i="2"/>
  <c r="N189" i="2"/>
  <c r="P189" i="2" s="1"/>
  <c r="M189" i="2"/>
  <c r="L189" i="2"/>
  <c r="I189" i="2"/>
  <c r="K189" i="2" s="1"/>
  <c r="H189" i="2"/>
  <c r="J189" i="2" s="1"/>
  <c r="X188" i="2"/>
  <c r="V188" i="2"/>
  <c r="W188" i="2" s="1"/>
  <c r="U188" i="2"/>
  <c r="T188" i="2"/>
  <c r="R188" i="2"/>
  <c r="S188" i="2" s="1"/>
  <c r="N188" i="2"/>
  <c r="M188" i="2"/>
  <c r="L188" i="2"/>
  <c r="J188" i="2"/>
  <c r="I188" i="2"/>
  <c r="H188" i="2"/>
  <c r="X187" i="2"/>
  <c r="W187" i="2"/>
  <c r="V187" i="2"/>
  <c r="U187" i="2"/>
  <c r="T187" i="2"/>
  <c r="S187" i="2"/>
  <c r="R187" i="2"/>
  <c r="O187" i="2"/>
  <c r="N187" i="2"/>
  <c r="O185" i="2" s="1"/>
  <c r="M187" i="2"/>
  <c r="L187" i="2"/>
  <c r="H187" i="2"/>
  <c r="J187" i="2" s="1"/>
  <c r="X186" i="2"/>
  <c r="W186" i="2"/>
  <c r="V186" i="2"/>
  <c r="T186" i="2"/>
  <c r="U186" i="2" s="1"/>
  <c r="S186" i="2"/>
  <c r="R186" i="2"/>
  <c r="P186" i="2"/>
  <c r="N186" i="2"/>
  <c r="M186" i="2"/>
  <c r="L186" i="2"/>
  <c r="H186" i="2"/>
  <c r="X185" i="2"/>
  <c r="W185" i="2"/>
  <c r="V185" i="2"/>
  <c r="U185" i="2"/>
  <c r="T185" i="2"/>
  <c r="R185" i="2"/>
  <c r="S185" i="2" s="1"/>
  <c r="Q185" i="2"/>
  <c r="N185" i="2"/>
  <c r="M185" i="2"/>
  <c r="L185" i="2"/>
  <c r="J185" i="2"/>
  <c r="I185" i="2"/>
  <c r="K185" i="2" s="1"/>
  <c r="H185" i="2"/>
  <c r="X184" i="2"/>
  <c r="V184" i="2"/>
  <c r="W184" i="2" s="1"/>
  <c r="U184" i="2"/>
  <c r="T184" i="2"/>
  <c r="R184" i="2"/>
  <c r="S184" i="2" s="1"/>
  <c r="N184" i="2"/>
  <c r="M184" i="2"/>
  <c r="L184" i="2"/>
  <c r="J184" i="2"/>
  <c r="K184" i="2" s="1"/>
  <c r="I184" i="2"/>
  <c r="H184" i="2"/>
  <c r="X183" i="2"/>
  <c r="W183" i="2"/>
  <c r="V183" i="2"/>
  <c r="T183" i="2"/>
  <c r="U183" i="2" s="1"/>
  <c r="S183" i="2"/>
  <c r="R183" i="2"/>
  <c r="O183" i="2"/>
  <c r="N183" i="2"/>
  <c r="Q183" i="2" s="1"/>
  <c r="M183" i="2"/>
  <c r="L183" i="2"/>
  <c r="K183" i="2"/>
  <c r="J183" i="2"/>
  <c r="I183" i="2"/>
  <c r="H183" i="2"/>
  <c r="X182" i="2"/>
  <c r="W182" i="2"/>
  <c r="V182" i="2"/>
  <c r="T182" i="2"/>
  <c r="U182" i="2" s="1"/>
  <c r="S182" i="2"/>
  <c r="R182" i="2"/>
  <c r="P182" i="2"/>
  <c r="N182" i="2"/>
  <c r="Q182" i="2" s="1"/>
  <c r="M182" i="2"/>
  <c r="L182" i="2"/>
  <c r="H182" i="2"/>
  <c r="X181" i="2"/>
  <c r="V181" i="2"/>
  <c r="W181" i="2" s="1"/>
  <c r="U181" i="2"/>
  <c r="T181" i="2"/>
  <c r="S181" i="2"/>
  <c r="R181" i="2"/>
  <c r="Q181" i="2"/>
  <c r="N181" i="2"/>
  <c r="P181" i="2" s="1"/>
  <c r="M181" i="2"/>
  <c r="L181" i="2"/>
  <c r="I181" i="2"/>
  <c r="K181" i="2" s="1"/>
  <c r="H181" i="2"/>
  <c r="J181" i="2" s="1"/>
  <c r="X180" i="2"/>
  <c r="V180" i="2"/>
  <c r="W180" i="2" s="1"/>
  <c r="U180" i="2"/>
  <c r="T180" i="2"/>
  <c r="R180" i="2"/>
  <c r="S180" i="2" s="1"/>
  <c r="N180" i="2"/>
  <c r="M180" i="2"/>
  <c r="L180" i="2"/>
  <c r="J180" i="2"/>
  <c r="I180" i="2"/>
  <c r="H180" i="2"/>
  <c r="X179" i="2"/>
  <c r="W179" i="2"/>
  <c r="V179" i="2"/>
  <c r="U179" i="2"/>
  <c r="T179" i="2"/>
  <c r="S179" i="2"/>
  <c r="R179" i="2"/>
  <c r="O179" i="2"/>
  <c r="N179" i="2"/>
  <c r="O177" i="2" s="1"/>
  <c r="M179" i="2"/>
  <c r="L179" i="2"/>
  <c r="H179" i="2"/>
  <c r="J179" i="2" s="1"/>
  <c r="X178" i="2"/>
  <c r="W178" i="2"/>
  <c r="V178" i="2"/>
  <c r="T178" i="2"/>
  <c r="U178" i="2" s="1"/>
  <c r="S178" i="2"/>
  <c r="R178" i="2"/>
  <c r="P178" i="2"/>
  <c r="N178" i="2"/>
  <c r="M178" i="2"/>
  <c r="L178" i="2"/>
  <c r="H178" i="2"/>
  <c r="X177" i="2"/>
  <c r="W177" i="2"/>
  <c r="V177" i="2"/>
  <c r="U177" i="2"/>
  <c r="T177" i="2"/>
  <c r="R177" i="2"/>
  <c r="S177" i="2" s="1"/>
  <c r="Q177" i="2"/>
  <c r="N177" i="2"/>
  <c r="M177" i="2"/>
  <c r="L177" i="2"/>
  <c r="J177" i="2"/>
  <c r="I177" i="2"/>
  <c r="K177" i="2" s="1"/>
  <c r="H177" i="2"/>
  <c r="X176" i="2"/>
  <c r="V176" i="2"/>
  <c r="W176" i="2" s="1"/>
  <c r="U176" i="2"/>
  <c r="T176" i="2"/>
  <c r="R176" i="2"/>
  <c r="S176" i="2" s="1"/>
  <c r="N176" i="2"/>
  <c r="M176" i="2"/>
  <c r="L176" i="2"/>
  <c r="J176" i="2"/>
  <c r="K176" i="2" s="1"/>
  <c r="I176" i="2"/>
  <c r="H176" i="2"/>
  <c r="X175" i="2"/>
  <c r="W175" i="2"/>
  <c r="V175" i="2"/>
  <c r="T175" i="2"/>
  <c r="U175" i="2" s="1"/>
  <c r="R175" i="2"/>
  <c r="O175" i="2"/>
  <c r="N175" i="2"/>
  <c r="Q175" i="2" s="1"/>
  <c r="M175" i="2"/>
  <c r="L175" i="2"/>
  <c r="K175" i="2"/>
  <c r="J175" i="2"/>
  <c r="I175" i="2"/>
  <c r="H175" i="2"/>
  <c r="X174" i="2"/>
  <c r="W174" i="2"/>
  <c r="V174" i="2"/>
  <c r="T174" i="2"/>
  <c r="U174" i="2" s="1"/>
  <c r="S174" i="2"/>
  <c r="R174" i="2"/>
  <c r="P174" i="2"/>
  <c r="N174" i="2"/>
  <c r="Q174" i="2" s="1"/>
  <c r="M174" i="2"/>
  <c r="L174" i="2"/>
  <c r="H174" i="2"/>
  <c r="X173" i="2"/>
  <c r="V173" i="2"/>
  <c r="W173" i="2" s="1"/>
  <c r="U173" i="2"/>
  <c r="T173" i="2"/>
  <c r="S173" i="2"/>
  <c r="R173" i="2"/>
  <c r="Q173" i="2"/>
  <c r="N173" i="2"/>
  <c r="P173" i="2" s="1"/>
  <c r="M173" i="2"/>
  <c r="L173" i="2"/>
  <c r="I173" i="2"/>
  <c r="K173" i="2" s="1"/>
  <c r="H173" i="2"/>
  <c r="J173" i="2" s="1"/>
  <c r="X172" i="2"/>
  <c r="V172" i="2"/>
  <c r="W172" i="2" s="1"/>
  <c r="U172" i="2"/>
  <c r="T172" i="2"/>
  <c r="R172" i="2"/>
  <c r="S172" i="2" s="1"/>
  <c r="O172" i="2"/>
  <c r="N172" i="2"/>
  <c r="M172" i="2"/>
  <c r="L172" i="2"/>
  <c r="J172" i="2"/>
  <c r="I172" i="2"/>
  <c r="K172" i="2" s="1"/>
  <c r="H172" i="2"/>
  <c r="X171" i="2"/>
  <c r="W171" i="2"/>
  <c r="V171" i="2"/>
  <c r="U171" i="2"/>
  <c r="T171" i="2"/>
  <c r="S171" i="2"/>
  <c r="R171" i="2"/>
  <c r="P171" i="2"/>
  <c r="N171" i="2"/>
  <c r="O169" i="2" s="1"/>
  <c r="M171" i="2"/>
  <c r="L171" i="2"/>
  <c r="H171" i="2"/>
  <c r="X170" i="2"/>
  <c r="W170" i="2"/>
  <c r="V170" i="2"/>
  <c r="T170" i="2"/>
  <c r="U170" i="2" s="1"/>
  <c r="S170" i="2"/>
  <c r="R170" i="2"/>
  <c r="N170" i="2"/>
  <c r="M170" i="2"/>
  <c r="L170" i="2"/>
  <c r="I170" i="2"/>
  <c r="K170" i="2" s="1"/>
  <c r="H170" i="2"/>
  <c r="J170" i="2" s="1"/>
  <c r="X169" i="2"/>
  <c r="W169" i="2"/>
  <c r="V169" i="2"/>
  <c r="T169" i="2"/>
  <c r="U168" i="2" s="1"/>
  <c r="R169" i="2"/>
  <c r="S169" i="2" s="1"/>
  <c r="Q169" i="2"/>
  <c r="N169" i="2"/>
  <c r="M169" i="2"/>
  <c r="L169" i="2"/>
  <c r="J169" i="2"/>
  <c r="I169" i="2"/>
  <c r="K169" i="2" s="1"/>
  <c r="H169" i="2"/>
  <c r="X168" i="2"/>
  <c r="V168" i="2"/>
  <c r="W168" i="2" s="1"/>
  <c r="T168" i="2"/>
  <c r="R168" i="2"/>
  <c r="S168" i="2" s="1"/>
  <c r="N168" i="2"/>
  <c r="P166" i="2" s="1"/>
  <c r="M168" i="2"/>
  <c r="L168" i="2"/>
  <c r="K168" i="2"/>
  <c r="J168" i="2"/>
  <c r="I168" i="2"/>
  <c r="H168" i="2"/>
  <c r="X167" i="2"/>
  <c r="V167" i="2"/>
  <c r="W166" i="2" s="1"/>
  <c r="T167" i="2"/>
  <c r="U167" i="2" s="1"/>
  <c r="S167" i="2"/>
  <c r="R167" i="2"/>
  <c r="S166" i="2" s="1"/>
  <c r="O167" i="2"/>
  <c r="N167" i="2"/>
  <c r="M167" i="2"/>
  <c r="L167" i="2"/>
  <c r="K167" i="2"/>
  <c r="J167" i="2"/>
  <c r="I167" i="2"/>
  <c r="H167" i="2"/>
  <c r="X166" i="2"/>
  <c r="V166" i="2"/>
  <c r="U166" i="2"/>
  <c r="T166" i="2"/>
  <c r="R166" i="2"/>
  <c r="O166" i="2"/>
  <c r="N166" i="2"/>
  <c r="M166" i="2"/>
  <c r="L166" i="2"/>
  <c r="H166" i="2"/>
  <c r="X165" i="2"/>
  <c r="V165" i="2"/>
  <c r="W165" i="2" s="1"/>
  <c r="U165" i="2"/>
  <c r="T165" i="2"/>
  <c r="S165" i="2"/>
  <c r="R165" i="2"/>
  <c r="N165" i="2"/>
  <c r="O165" i="2" s="1"/>
  <c r="M165" i="2"/>
  <c r="L165" i="2"/>
  <c r="H165" i="2"/>
  <c r="J165" i="2" s="1"/>
  <c r="X164" i="2"/>
  <c r="W164" i="2"/>
  <c r="V164" i="2"/>
  <c r="U164" i="2"/>
  <c r="T164" i="2"/>
  <c r="R164" i="2"/>
  <c r="N164" i="2"/>
  <c r="P162" i="2" s="1"/>
  <c r="M164" i="2"/>
  <c r="L164" i="2"/>
  <c r="J164" i="2"/>
  <c r="I164" i="2"/>
  <c r="H164" i="2"/>
  <c r="X163" i="2"/>
  <c r="V163" i="2"/>
  <c r="W162" i="2" s="1"/>
  <c r="U163" i="2"/>
  <c r="T163" i="2"/>
  <c r="R163" i="2"/>
  <c r="S162" i="2" s="1"/>
  <c r="P163" i="2"/>
  <c r="N163" i="2"/>
  <c r="Q161" i="2" s="1"/>
  <c r="M163" i="2"/>
  <c r="L163" i="2"/>
  <c r="J163" i="2"/>
  <c r="H163" i="2"/>
  <c r="I163" i="2" s="1"/>
  <c r="K163" i="2" s="1"/>
  <c r="X162" i="2"/>
  <c r="V162" i="2"/>
  <c r="T162" i="2"/>
  <c r="U162" i="2" s="1"/>
  <c r="R162" i="2"/>
  <c r="Q162" i="2"/>
  <c r="O162" i="2"/>
  <c r="N162" i="2"/>
  <c r="M162" i="2"/>
  <c r="L162" i="2"/>
  <c r="H162" i="2"/>
  <c r="J162" i="2" s="1"/>
  <c r="X161" i="2"/>
  <c r="W161" i="2"/>
  <c r="V161" i="2"/>
  <c r="T161" i="2"/>
  <c r="U161" i="2" s="1"/>
  <c r="R161" i="2"/>
  <c r="S161" i="2" s="1"/>
  <c r="P161" i="2"/>
  <c r="N161" i="2"/>
  <c r="M161" i="2"/>
  <c r="L161" i="2"/>
  <c r="J161" i="2"/>
  <c r="I161" i="2"/>
  <c r="H161" i="2"/>
  <c r="X160" i="2"/>
  <c r="V160" i="2"/>
  <c r="W160" i="2" s="1"/>
  <c r="U160" i="2"/>
  <c r="T160" i="2"/>
  <c r="R160" i="2"/>
  <c r="S160" i="2" s="1"/>
  <c r="N160" i="2"/>
  <c r="O160" i="2" s="1"/>
  <c r="M160" i="2"/>
  <c r="L160" i="2"/>
  <c r="I160" i="2"/>
  <c r="H160" i="2"/>
  <c r="J160" i="2" s="1"/>
  <c r="X159" i="2"/>
  <c r="W159" i="2"/>
  <c r="V159" i="2"/>
  <c r="W158" i="2" s="1"/>
  <c r="T159" i="2"/>
  <c r="U159" i="2" s="1"/>
  <c r="R159" i="2"/>
  <c r="S159" i="2" s="1"/>
  <c r="N159" i="2"/>
  <c r="M159" i="2"/>
  <c r="L159" i="2"/>
  <c r="K159" i="2"/>
  <c r="J159" i="2"/>
  <c r="I159" i="2"/>
  <c r="H159" i="2"/>
  <c r="X158" i="2"/>
  <c r="V158" i="2"/>
  <c r="T158" i="2"/>
  <c r="R158" i="2"/>
  <c r="S158" i="2" s="1"/>
  <c r="N158" i="2"/>
  <c r="M158" i="2"/>
  <c r="L158" i="2"/>
  <c r="H158" i="2"/>
  <c r="I158" i="2" s="1"/>
  <c r="X157" i="2"/>
  <c r="V157" i="2"/>
  <c r="W157" i="2" s="1"/>
  <c r="T157" i="2"/>
  <c r="U156" i="2" s="1"/>
  <c r="S157" i="2"/>
  <c r="R157" i="2"/>
  <c r="N157" i="2"/>
  <c r="Q156" i="2" s="1"/>
  <c r="M157" i="2"/>
  <c r="L157" i="2"/>
  <c r="H157" i="2"/>
  <c r="X156" i="2"/>
  <c r="V156" i="2"/>
  <c r="W156" i="2" s="1"/>
  <c r="T156" i="2"/>
  <c r="R156" i="2"/>
  <c r="S156" i="2" s="1"/>
  <c r="O156" i="2"/>
  <c r="N156" i="2"/>
  <c r="M156" i="2"/>
  <c r="L156" i="2"/>
  <c r="J156" i="2"/>
  <c r="I156" i="2"/>
  <c r="K156" i="2" s="1"/>
  <c r="H156" i="2"/>
  <c r="X155" i="2"/>
  <c r="V155" i="2"/>
  <c r="W155" i="2" s="1"/>
  <c r="U155" i="2"/>
  <c r="T155" i="2"/>
  <c r="R155" i="2"/>
  <c r="S155" i="2" s="1"/>
  <c r="P155" i="2"/>
  <c r="N155" i="2"/>
  <c r="O155" i="2" s="1"/>
  <c r="M155" i="2"/>
  <c r="L155" i="2"/>
  <c r="H155" i="2"/>
  <c r="X154" i="2"/>
  <c r="V154" i="2"/>
  <c r="W154" i="2" s="1"/>
  <c r="U154" i="2"/>
  <c r="T154" i="2"/>
  <c r="S154" i="2"/>
  <c r="R154" i="2"/>
  <c r="Q154" i="2"/>
  <c r="N154" i="2"/>
  <c r="P154" i="2" s="1"/>
  <c r="M154" i="2"/>
  <c r="L154" i="2"/>
  <c r="J154" i="2"/>
  <c r="I154" i="2"/>
  <c r="K154" i="2" s="1"/>
  <c r="H154" i="2"/>
  <c r="X153" i="2"/>
  <c r="W153" i="2"/>
  <c r="V153" i="2"/>
  <c r="T153" i="2"/>
  <c r="U153" i="2" s="1"/>
  <c r="R153" i="2"/>
  <c r="O153" i="2"/>
  <c r="N153" i="2"/>
  <c r="Q153" i="2" s="1"/>
  <c r="M153" i="2"/>
  <c r="L153" i="2"/>
  <c r="J153" i="2"/>
  <c r="H153" i="2"/>
  <c r="I153" i="2" s="1"/>
  <c r="K153" i="2" s="1"/>
  <c r="X152" i="2"/>
  <c r="W152" i="2"/>
  <c r="V152" i="2"/>
  <c r="U152" i="2"/>
  <c r="T152" i="2"/>
  <c r="R152" i="2"/>
  <c r="N152" i="2"/>
  <c r="M152" i="2"/>
  <c r="L152" i="2"/>
  <c r="H152" i="2"/>
  <c r="J152" i="2" s="1"/>
  <c r="X151" i="2"/>
  <c r="V151" i="2"/>
  <c r="W151" i="2" s="1"/>
  <c r="T151" i="2"/>
  <c r="U151" i="2" s="1"/>
  <c r="R151" i="2"/>
  <c r="S151" i="2" s="1"/>
  <c r="N151" i="2"/>
  <c r="Q151" i="2" s="1"/>
  <c r="M151" i="2"/>
  <c r="L151" i="2"/>
  <c r="J151" i="2"/>
  <c r="I151" i="2"/>
  <c r="K151" i="2" s="1"/>
  <c r="H151" i="2"/>
  <c r="X150" i="2"/>
  <c r="W150" i="2"/>
  <c r="V150" i="2"/>
  <c r="U150" i="2"/>
  <c r="T150" i="2"/>
  <c r="R150" i="2"/>
  <c r="S150" i="2" s="1"/>
  <c r="O150" i="2"/>
  <c r="N150" i="2"/>
  <c r="Q150" i="2" s="1"/>
  <c r="M150" i="2"/>
  <c r="L150" i="2"/>
  <c r="J150" i="2"/>
  <c r="K150" i="2" s="1"/>
  <c r="I150" i="2"/>
  <c r="H150" i="2"/>
  <c r="X149" i="2"/>
  <c r="V149" i="2"/>
  <c r="W149" i="2" s="1"/>
  <c r="T149" i="2"/>
  <c r="U149" i="2" s="1"/>
  <c r="S149" i="2"/>
  <c r="R149" i="2"/>
  <c r="N149" i="2"/>
  <c r="M149" i="2"/>
  <c r="L149" i="2"/>
  <c r="H149" i="2"/>
  <c r="J149" i="2" s="1"/>
  <c r="X148" i="2"/>
  <c r="W148" i="2"/>
  <c r="V148" i="2"/>
  <c r="T148" i="2"/>
  <c r="U148" i="2" s="1"/>
  <c r="S148" i="2"/>
  <c r="R148" i="2"/>
  <c r="N148" i="2"/>
  <c r="M148" i="2"/>
  <c r="L148" i="2"/>
  <c r="I148" i="2"/>
  <c r="H148" i="2"/>
  <c r="J148" i="2" s="1"/>
  <c r="X147" i="2"/>
  <c r="V147" i="2"/>
  <c r="W147" i="2" s="1"/>
  <c r="U147" i="2"/>
  <c r="T147" i="2"/>
  <c r="R147" i="2"/>
  <c r="S147" i="2" s="1"/>
  <c r="N147" i="2"/>
  <c r="M147" i="2"/>
  <c r="L147" i="2"/>
  <c r="H147" i="2"/>
  <c r="X146" i="2"/>
  <c r="V146" i="2"/>
  <c r="W146" i="2" s="1"/>
  <c r="U146" i="2"/>
  <c r="T146" i="2"/>
  <c r="S146" i="2"/>
  <c r="R146" i="2"/>
  <c r="Q146" i="2"/>
  <c r="N146" i="2"/>
  <c r="P146" i="2" s="1"/>
  <c r="M146" i="2"/>
  <c r="L146" i="2"/>
  <c r="J146" i="2"/>
  <c r="I146" i="2"/>
  <c r="K146" i="2" s="1"/>
  <c r="H146" i="2"/>
  <c r="X145" i="2"/>
  <c r="W145" i="2"/>
  <c r="V145" i="2"/>
  <c r="T145" i="2"/>
  <c r="U145" i="2" s="1"/>
  <c r="R145" i="2"/>
  <c r="S145" i="2" s="1"/>
  <c r="N145" i="2"/>
  <c r="M145" i="2"/>
  <c r="L145" i="2"/>
  <c r="J145" i="2"/>
  <c r="H145" i="2"/>
  <c r="I145" i="2" s="1"/>
  <c r="K145" i="2" s="1"/>
  <c r="X144" i="2"/>
  <c r="W144" i="2"/>
  <c r="V144" i="2"/>
  <c r="U144" i="2"/>
  <c r="T144" i="2"/>
  <c r="S144" i="2"/>
  <c r="R144" i="2"/>
  <c r="N144" i="2"/>
  <c r="M144" i="2"/>
  <c r="L144" i="2"/>
  <c r="H144" i="2"/>
  <c r="J144" i="2" s="1"/>
  <c r="X143" i="2"/>
  <c r="V143" i="2"/>
  <c r="W143" i="2" s="1"/>
  <c r="T143" i="2"/>
  <c r="U143" i="2" s="1"/>
  <c r="R143" i="2"/>
  <c r="S143" i="2" s="1"/>
  <c r="N143" i="2"/>
  <c r="Q143" i="2" s="1"/>
  <c r="M143" i="2"/>
  <c r="L143" i="2"/>
  <c r="J143" i="2"/>
  <c r="I143" i="2"/>
  <c r="K143" i="2" s="1"/>
  <c r="H143" i="2"/>
  <c r="X142" i="2"/>
  <c r="W142" i="2"/>
  <c r="V142" i="2"/>
  <c r="T142" i="2"/>
  <c r="R142" i="2"/>
  <c r="S142" i="2" s="1"/>
  <c r="O142" i="2"/>
  <c r="N142" i="2"/>
  <c r="M142" i="2"/>
  <c r="L142" i="2"/>
  <c r="J142" i="2"/>
  <c r="K142" i="2" s="1"/>
  <c r="I142" i="2"/>
  <c r="H142" i="2"/>
  <c r="X141" i="2"/>
  <c r="V141" i="2"/>
  <c r="W141" i="2" s="1"/>
  <c r="T141" i="2"/>
  <c r="U141" i="2" s="1"/>
  <c r="S141" i="2"/>
  <c r="R141" i="2"/>
  <c r="N141" i="2"/>
  <c r="M141" i="2"/>
  <c r="L141" i="2"/>
  <c r="H141" i="2"/>
  <c r="J141" i="2" s="1"/>
  <c r="X140" i="2"/>
  <c r="V140" i="2"/>
  <c r="T140" i="2"/>
  <c r="U140" i="2" s="1"/>
  <c r="S140" i="2"/>
  <c r="R140" i="2"/>
  <c r="N140" i="2"/>
  <c r="M140" i="2"/>
  <c r="L140" i="2"/>
  <c r="I140" i="2"/>
  <c r="H140" i="2"/>
  <c r="J140" i="2" s="1"/>
  <c r="X139" i="2"/>
  <c r="V139" i="2"/>
  <c r="W139" i="2" s="1"/>
  <c r="U139" i="2"/>
  <c r="T139" i="2"/>
  <c r="R139" i="2"/>
  <c r="S139" i="2" s="1"/>
  <c r="N139" i="2"/>
  <c r="M139" i="2"/>
  <c r="L139" i="2"/>
  <c r="H139" i="2"/>
  <c r="X138" i="2"/>
  <c r="V138" i="2"/>
  <c r="W138" i="2" s="1"/>
  <c r="U138" i="2"/>
  <c r="T138" i="2"/>
  <c r="S138" i="2"/>
  <c r="R138" i="2"/>
  <c r="Q138" i="2"/>
  <c r="N138" i="2"/>
  <c r="M138" i="2"/>
  <c r="L138" i="2"/>
  <c r="J138" i="2"/>
  <c r="I138" i="2"/>
  <c r="K138" i="2" s="1"/>
  <c r="H138" i="2"/>
  <c r="X137" i="2"/>
  <c r="W137" i="2"/>
  <c r="V137" i="2"/>
  <c r="T137" i="2"/>
  <c r="U137" i="2" s="1"/>
  <c r="R137" i="2"/>
  <c r="S137" i="2" s="1"/>
  <c r="N137" i="2"/>
  <c r="M137" i="2"/>
  <c r="L137" i="2"/>
  <c r="J137" i="2"/>
  <c r="H137" i="2"/>
  <c r="I137" i="2" s="1"/>
  <c r="X136" i="2"/>
  <c r="W136" i="2"/>
  <c r="V136" i="2"/>
  <c r="U136" i="2"/>
  <c r="T136" i="2"/>
  <c r="S136" i="2"/>
  <c r="R136" i="2"/>
  <c r="N136" i="2"/>
  <c r="M136" i="2"/>
  <c r="L136" i="2"/>
  <c r="H136" i="2"/>
  <c r="J136" i="2" s="1"/>
  <c r="X135" i="2"/>
  <c r="V135" i="2"/>
  <c r="W135" i="2" s="1"/>
  <c r="T135" i="2"/>
  <c r="R135" i="2"/>
  <c r="S135" i="2" s="1"/>
  <c r="N135" i="2"/>
  <c r="M135" i="2"/>
  <c r="L135" i="2"/>
  <c r="J135" i="2"/>
  <c r="I135" i="2"/>
  <c r="K135" i="2" s="1"/>
  <c r="H135" i="2"/>
  <c r="X134" i="2"/>
  <c r="V134" i="2"/>
  <c r="T134" i="2"/>
  <c r="R134" i="2"/>
  <c r="S134" i="2" s="1"/>
  <c r="O134" i="2"/>
  <c r="N134" i="2"/>
  <c r="M134" i="2"/>
  <c r="L134" i="2"/>
  <c r="J134" i="2"/>
  <c r="K134" i="2" s="1"/>
  <c r="I134" i="2"/>
  <c r="H134" i="2"/>
  <c r="X133" i="2"/>
  <c r="V133" i="2"/>
  <c r="W133" i="2" s="1"/>
  <c r="T133" i="2"/>
  <c r="U133" i="2" s="1"/>
  <c r="S133" i="2"/>
  <c r="R133" i="2"/>
  <c r="N133" i="2"/>
  <c r="M133" i="2"/>
  <c r="L133" i="2"/>
  <c r="H133" i="2"/>
  <c r="X132" i="2"/>
  <c r="W132" i="2"/>
  <c r="V132" i="2"/>
  <c r="T132" i="2"/>
  <c r="U132" i="2" s="1"/>
  <c r="S132" i="2"/>
  <c r="R132" i="2"/>
  <c r="O132" i="2"/>
  <c r="N132" i="2"/>
  <c r="M132" i="2"/>
  <c r="L132" i="2"/>
  <c r="I132" i="2"/>
  <c r="H132" i="2"/>
  <c r="J132" i="2" s="1"/>
  <c r="X131" i="2"/>
  <c r="V131" i="2"/>
  <c r="W131" i="2" s="1"/>
  <c r="U131" i="2"/>
  <c r="T131" i="2"/>
  <c r="R131" i="2"/>
  <c r="N131" i="2"/>
  <c r="M131" i="2"/>
  <c r="L131" i="2"/>
  <c r="H131" i="2"/>
  <c r="I131" i="2" s="1"/>
  <c r="X130" i="2"/>
  <c r="V130" i="2"/>
  <c r="W130" i="2" s="1"/>
  <c r="U130" i="2"/>
  <c r="T130" i="2"/>
  <c r="R130" i="2"/>
  <c r="N130" i="2"/>
  <c r="P130" i="2" s="1"/>
  <c r="M130" i="2"/>
  <c r="L130" i="2"/>
  <c r="J130" i="2"/>
  <c r="I130" i="2"/>
  <c r="K130" i="2" s="1"/>
  <c r="H130" i="2"/>
  <c r="X129" i="2"/>
  <c r="W129" i="2"/>
  <c r="V129" i="2"/>
  <c r="T129" i="2"/>
  <c r="R129" i="2"/>
  <c r="S129" i="2" s="1"/>
  <c r="N129" i="2"/>
  <c r="M129" i="2"/>
  <c r="L129" i="2"/>
  <c r="J129" i="2"/>
  <c r="H129" i="2"/>
  <c r="I129" i="2" s="1"/>
  <c r="K129" i="2" s="1"/>
  <c r="X128" i="2"/>
  <c r="W128" i="2"/>
  <c r="V128" i="2"/>
  <c r="T128" i="2"/>
  <c r="S128" i="2"/>
  <c r="R128" i="2"/>
  <c r="N128" i="2"/>
  <c r="M128" i="2"/>
  <c r="L128" i="2"/>
  <c r="H128" i="2"/>
  <c r="J128" i="2" s="1"/>
  <c r="X127" i="2"/>
  <c r="V127" i="2"/>
  <c r="W127" i="2" s="1"/>
  <c r="T127" i="2"/>
  <c r="U127" i="2" s="1"/>
  <c r="R127" i="2"/>
  <c r="S127" i="2" s="1"/>
  <c r="N127" i="2"/>
  <c r="M127" i="2"/>
  <c r="L127" i="2"/>
  <c r="J127" i="2"/>
  <c r="I127" i="2"/>
  <c r="K127" i="2" s="1"/>
  <c r="H127" i="2"/>
  <c r="X126" i="2"/>
  <c r="W126" i="2"/>
  <c r="V126" i="2"/>
  <c r="U126" i="2"/>
  <c r="T126" i="2"/>
  <c r="R126" i="2"/>
  <c r="S126" i="2" s="1"/>
  <c r="N126" i="2"/>
  <c r="M126" i="2"/>
  <c r="L126" i="2"/>
  <c r="J126" i="2"/>
  <c r="I126" i="2"/>
  <c r="K126" i="2" s="1"/>
  <c r="H126" i="2"/>
  <c r="X125" i="2"/>
  <c r="V125" i="2"/>
  <c r="W125" i="2" s="1"/>
  <c r="T125" i="2"/>
  <c r="U125" i="2" s="1"/>
  <c r="S125" i="2"/>
  <c r="R125" i="2"/>
  <c r="N125" i="2"/>
  <c r="M125" i="2"/>
  <c r="L125" i="2"/>
  <c r="H125" i="2"/>
  <c r="X124" i="2"/>
  <c r="W124" i="2"/>
  <c r="V124" i="2"/>
  <c r="T124" i="2"/>
  <c r="S124" i="2"/>
  <c r="R124" i="2"/>
  <c r="N124" i="2"/>
  <c r="M124" i="2"/>
  <c r="L124" i="2"/>
  <c r="I124" i="2"/>
  <c r="K124" i="2" s="1"/>
  <c r="H124" i="2"/>
  <c r="J124" i="2" s="1"/>
  <c r="X123" i="2"/>
  <c r="V123" i="2"/>
  <c r="W123" i="2" s="1"/>
  <c r="T123" i="2"/>
  <c r="R123" i="2"/>
  <c r="S123" i="2" s="1"/>
  <c r="N123" i="2"/>
  <c r="M123" i="2"/>
  <c r="L123" i="2"/>
  <c r="H123" i="2"/>
  <c r="I123" i="2" s="1"/>
  <c r="X122" i="2"/>
  <c r="V122" i="2"/>
  <c r="W122" i="2" s="1"/>
  <c r="U122" i="2"/>
  <c r="T122" i="2"/>
  <c r="R122" i="2"/>
  <c r="N122" i="2"/>
  <c r="M122" i="2"/>
  <c r="L122" i="2"/>
  <c r="K122" i="2"/>
  <c r="J122" i="2"/>
  <c r="I122" i="2"/>
  <c r="H122" i="2"/>
  <c r="X121" i="2"/>
  <c r="V121" i="2"/>
  <c r="T121" i="2"/>
  <c r="U121" i="2" s="1"/>
  <c r="R121" i="2"/>
  <c r="S121" i="2" s="1"/>
  <c r="N121" i="2"/>
  <c r="M121" i="2"/>
  <c r="L121" i="2"/>
  <c r="J121" i="2"/>
  <c r="H121" i="2"/>
  <c r="I121" i="2" s="1"/>
  <c r="X120" i="2"/>
  <c r="W120" i="2"/>
  <c r="V120" i="2"/>
  <c r="T120" i="2"/>
  <c r="R120" i="2"/>
  <c r="N120" i="2"/>
  <c r="M120" i="2"/>
  <c r="L120" i="2"/>
  <c r="H120" i="2"/>
  <c r="X119" i="2"/>
  <c r="V119" i="2"/>
  <c r="W119" i="2" s="1"/>
  <c r="T119" i="2"/>
  <c r="U119" i="2" s="1"/>
  <c r="R119" i="2"/>
  <c r="S119" i="2" s="1"/>
  <c r="N119" i="2"/>
  <c r="M119" i="2"/>
  <c r="L119" i="2"/>
  <c r="I119" i="2"/>
  <c r="H119" i="2"/>
  <c r="J119" i="2" s="1"/>
  <c r="X118" i="2"/>
  <c r="W118" i="2"/>
  <c r="V118" i="2"/>
  <c r="U118" i="2"/>
  <c r="T118" i="2"/>
  <c r="R118" i="2"/>
  <c r="S118" i="2" s="1"/>
  <c r="N118" i="2"/>
  <c r="M118" i="2"/>
  <c r="L118" i="2"/>
  <c r="J118" i="2"/>
  <c r="I118" i="2"/>
  <c r="K118" i="2" s="1"/>
  <c r="H118" i="2"/>
  <c r="X117" i="2"/>
  <c r="V117" i="2"/>
  <c r="W117" i="2" s="1"/>
  <c r="T117" i="2"/>
  <c r="U117" i="2" s="1"/>
  <c r="S117" i="2"/>
  <c r="R117" i="2"/>
  <c r="N117" i="2"/>
  <c r="M117" i="2"/>
  <c r="L117" i="2"/>
  <c r="H117" i="2"/>
  <c r="X116" i="2"/>
  <c r="W116" i="2"/>
  <c r="V116" i="2"/>
  <c r="T116" i="2"/>
  <c r="S116" i="2"/>
  <c r="R116" i="2"/>
  <c r="N116" i="2"/>
  <c r="M116" i="2"/>
  <c r="L116" i="2"/>
  <c r="I116" i="2"/>
  <c r="K116" i="2" s="1"/>
  <c r="H116" i="2"/>
  <c r="J116" i="2" s="1"/>
  <c r="X115" i="2"/>
  <c r="V115" i="2"/>
  <c r="W115" i="2" s="1"/>
  <c r="T115" i="2"/>
  <c r="R115" i="2"/>
  <c r="S115" i="2" s="1"/>
  <c r="N115" i="2"/>
  <c r="M115" i="2"/>
  <c r="L115" i="2"/>
  <c r="H115" i="2"/>
  <c r="I115" i="2" s="1"/>
  <c r="X114" i="2"/>
  <c r="V114" i="2"/>
  <c r="W114" i="2" s="1"/>
  <c r="U114" i="2"/>
  <c r="T114" i="2"/>
  <c r="R114" i="2"/>
  <c r="N114" i="2"/>
  <c r="M114" i="2"/>
  <c r="L114" i="2"/>
  <c r="K114" i="2"/>
  <c r="J114" i="2"/>
  <c r="I114" i="2"/>
  <c r="H114" i="2"/>
  <c r="X113" i="2"/>
  <c r="V113" i="2"/>
  <c r="T113" i="2"/>
  <c r="U113" i="2" s="1"/>
  <c r="R113" i="2"/>
  <c r="S113" i="2" s="1"/>
  <c r="N113" i="2"/>
  <c r="M113" i="2"/>
  <c r="L113" i="2"/>
  <c r="J113" i="2"/>
  <c r="H113" i="2"/>
  <c r="I113" i="2" s="1"/>
  <c r="X112" i="2"/>
  <c r="W112" i="2"/>
  <c r="V112" i="2"/>
  <c r="T112" i="2"/>
  <c r="R112" i="2"/>
  <c r="O112" i="2"/>
  <c r="N112" i="2"/>
  <c r="M112" i="2"/>
  <c r="L112" i="2"/>
  <c r="H112" i="2"/>
  <c r="X111" i="2"/>
  <c r="V111" i="2"/>
  <c r="W111" i="2" s="1"/>
  <c r="T111" i="2"/>
  <c r="U111" i="2" s="1"/>
  <c r="R111" i="2"/>
  <c r="S111" i="2" s="1"/>
  <c r="N111" i="2"/>
  <c r="M111" i="2"/>
  <c r="L111" i="2"/>
  <c r="H111" i="2"/>
  <c r="J111" i="2" s="1"/>
  <c r="X110" i="2"/>
  <c r="W110" i="2"/>
  <c r="V110" i="2"/>
  <c r="T110" i="2"/>
  <c r="R110" i="2"/>
  <c r="S110" i="2" s="1"/>
  <c r="O110" i="2"/>
  <c r="N110" i="2"/>
  <c r="M110" i="2"/>
  <c r="L110" i="2"/>
  <c r="J110" i="2"/>
  <c r="I110" i="2"/>
  <c r="K110" i="2" s="1"/>
  <c r="H110" i="2"/>
  <c r="X109" i="2"/>
  <c r="W109" i="2"/>
  <c r="V109" i="2"/>
  <c r="W108" i="2" s="1"/>
  <c r="T109" i="2"/>
  <c r="U109" i="2" s="1"/>
  <c r="R109" i="2"/>
  <c r="S109" i="2" s="1"/>
  <c r="N109" i="2"/>
  <c r="M109" i="2"/>
  <c r="L109" i="2"/>
  <c r="H109" i="2"/>
  <c r="I109" i="2" s="1"/>
  <c r="X108" i="2"/>
  <c r="V108" i="2"/>
  <c r="U108" i="2"/>
  <c r="T108" i="2"/>
  <c r="S108" i="2"/>
  <c r="R108" i="2"/>
  <c r="N108" i="2"/>
  <c r="M108" i="2"/>
  <c r="L108" i="2"/>
  <c r="H108" i="2"/>
  <c r="J108" i="2" s="1"/>
  <c r="X107" i="2"/>
  <c r="V107" i="2"/>
  <c r="W107" i="2" s="1"/>
  <c r="T107" i="2"/>
  <c r="U106" i="2" s="1"/>
  <c r="R107" i="2"/>
  <c r="S107" i="2" s="1"/>
  <c r="N107" i="2"/>
  <c r="M107" i="2"/>
  <c r="L107" i="2"/>
  <c r="I107" i="2"/>
  <c r="H107" i="2"/>
  <c r="J107" i="2" s="1"/>
  <c r="X106" i="2"/>
  <c r="V106" i="2"/>
  <c r="W106" i="2" s="1"/>
  <c r="T106" i="2"/>
  <c r="R106" i="2"/>
  <c r="S105" i="2" s="1"/>
  <c r="O106" i="2"/>
  <c r="N106" i="2"/>
  <c r="M106" i="2"/>
  <c r="L106" i="2"/>
  <c r="J106" i="2"/>
  <c r="I106" i="2"/>
  <c r="K106" i="2" s="1"/>
  <c r="H106" i="2"/>
  <c r="X105" i="2"/>
  <c r="V105" i="2"/>
  <c r="W105" i="2" s="1"/>
  <c r="T105" i="2"/>
  <c r="U105" i="2" s="1"/>
  <c r="R105" i="2"/>
  <c r="S104" i="2" s="1"/>
  <c r="N105" i="2"/>
  <c r="M105" i="2"/>
  <c r="L105" i="2"/>
  <c r="J105" i="2"/>
  <c r="H105" i="2"/>
  <c r="I105" i="2" s="1"/>
  <c r="K105" i="2" s="1"/>
  <c r="X104" i="2"/>
  <c r="W104" i="2"/>
  <c r="V104" i="2"/>
  <c r="T104" i="2"/>
  <c r="U104" i="2" s="1"/>
  <c r="R104" i="2"/>
  <c r="N104" i="2"/>
  <c r="M104" i="2"/>
  <c r="L104" i="2"/>
  <c r="I104" i="2"/>
  <c r="K104" i="2" s="1"/>
  <c r="H104" i="2"/>
  <c r="J104" i="2" s="1"/>
  <c r="X103" i="2"/>
  <c r="V103" i="2"/>
  <c r="T103" i="2"/>
  <c r="U103" i="2" s="1"/>
  <c r="R103" i="2"/>
  <c r="S103" i="2" s="1"/>
  <c r="N103" i="2"/>
  <c r="M103" i="2"/>
  <c r="L103" i="2"/>
  <c r="H103" i="2"/>
  <c r="J103" i="2" s="1"/>
  <c r="X102" i="2"/>
  <c r="V102" i="2"/>
  <c r="U102" i="2"/>
  <c r="T102" i="2"/>
  <c r="S102" i="2"/>
  <c r="R102" i="2"/>
  <c r="N102" i="2"/>
  <c r="M102" i="2"/>
  <c r="L102" i="2"/>
  <c r="I102" i="2"/>
  <c r="K102" i="2" s="1"/>
  <c r="H102" i="2"/>
  <c r="J102" i="2" s="1"/>
  <c r="X101" i="2"/>
  <c r="V101" i="2"/>
  <c r="T101" i="2"/>
  <c r="U101" i="2" s="1"/>
  <c r="S101" i="2"/>
  <c r="R101" i="2"/>
  <c r="N101" i="2"/>
  <c r="M101" i="2"/>
  <c r="L101" i="2"/>
  <c r="I101" i="2"/>
  <c r="H101" i="2"/>
  <c r="J101" i="2" s="1"/>
  <c r="X100" i="2"/>
  <c r="V100" i="2"/>
  <c r="T100" i="2"/>
  <c r="U100" i="2" s="1"/>
  <c r="R100" i="2"/>
  <c r="S100" i="2" s="1"/>
  <c r="O100" i="2"/>
  <c r="N100" i="2"/>
  <c r="M100" i="2"/>
  <c r="L100" i="2"/>
  <c r="H100" i="2"/>
  <c r="J100" i="2" s="1"/>
  <c r="X99" i="2"/>
  <c r="V99" i="2"/>
  <c r="W99" i="2" s="1"/>
  <c r="T99" i="2"/>
  <c r="U99" i="2" s="1"/>
  <c r="R99" i="2"/>
  <c r="S99" i="2" s="1"/>
  <c r="N99" i="2"/>
  <c r="O99" i="2" s="1"/>
  <c r="M99" i="2"/>
  <c r="L99" i="2"/>
  <c r="I99" i="2"/>
  <c r="H99" i="2"/>
  <c r="J99" i="2" s="1"/>
  <c r="X98" i="2"/>
  <c r="V98" i="2"/>
  <c r="W98" i="2" s="1"/>
  <c r="T98" i="2"/>
  <c r="U98" i="2" s="1"/>
  <c r="R98" i="2"/>
  <c r="S98" i="2" s="1"/>
  <c r="O98" i="2"/>
  <c r="N98" i="2"/>
  <c r="M98" i="2"/>
  <c r="L98" i="2"/>
  <c r="I98" i="2"/>
  <c r="H98" i="2"/>
  <c r="J98" i="2" s="1"/>
  <c r="X97" i="2"/>
  <c r="V97" i="2"/>
  <c r="T97" i="2"/>
  <c r="U97" i="2" s="1"/>
  <c r="R97" i="2"/>
  <c r="S97" i="2" s="1"/>
  <c r="N97" i="2"/>
  <c r="M97" i="2"/>
  <c r="L97" i="2"/>
  <c r="H97" i="2"/>
  <c r="J97" i="2" s="1"/>
  <c r="X96" i="2"/>
  <c r="W96" i="2"/>
  <c r="V96" i="2"/>
  <c r="U96" i="2"/>
  <c r="T96" i="2"/>
  <c r="S96" i="2"/>
  <c r="R96" i="2"/>
  <c r="O96" i="2"/>
  <c r="N96" i="2"/>
  <c r="M96" i="2"/>
  <c r="L96" i="2"/>
  <c r="I96" i="2"/>
  <c r="H96" i="2"/>
  <c r="J96" i="2" s="1"/>
  <c r="X95" i="2"/>
  <c r="V95" i="2"/>
  <c r="W95" i="2" s="1"/>
  <c r="T95" i="2"/>
  <c r="U95" i="2" s="1"/>
  <c r="R95" i="2"/>
  <c r="S95" i="2" s="1"/>
  <c r="N95" i="2"/>
  <c r="M95" i="2"/>
  <c r="L95" i="2"/>
  <c r="H95" i="2"/>
  <c r="X94" i="2"/>
  <c r="W94" i="2"/>
  <c r="V94" i="2"/>
  <c r="U94" i="2"/>
  <c r="T94" i="2"/>
  <c r="S94" i="2"/>
  <c r="R94" i="2"/>
  <c r="N94" i="2"/>
  <c r="P94" i="2" s="1"/>
  <c r="M94" i="2"/>
  <c r="L94" i="2"/>
  <c r="J94" i="2"/>
  <c r="I94" i="2"/>
  <c r="K94" i="2" s="1"/>
  <c r="H94" i="2"/>
  <c r="X93" i="2"/>
  <c r="V93" i="2"/>
  <c r="W93" i="2" s="1"/>
  <c r="T93" i="2"/>
  <c r="U93" i="2" s="1"/>
  <c r="R93" i="2"/>
  <c r="N93" i="2"/>
  <c r="M93" i="2"/>
  <c r="L93" i="2"/>
  <c r="J93" i="2"/>
  <c r="H93" i="2"/>
  <c r="I93" i="2" s="1"/>
  <c r="K93" i="2" s="1"/>
  <c r="X92" i="2"/>
  <c r="W92" i="2"/>
  <c r="V92" i="2"/>
  <c r="U92" i="2"/>
  <c r="T92" i="2"/>
  <c r="R92" i="2"/>
  <c r="O92" i="2"/>
  <c r="N92" i="2"/>
  <c r="M92" i="2"/>
  <c r="L92" i="2"/>
  <c r="K92" i="2"/>
  <c r="I92" i="2"/>
  <c r="H92" i="2"/>
  <c r="J92" i="2" s="1"/>
  <c r="X91" i="2"/>
  <c r="V91" i="2"/>
  <c r="W91" i="2" s="1"/>
  <c r="T91" i="2"/>
  <c r="U91" i="2" s="1"/>
  <c r="R91" i="2"/>
  <c r="S91" i="2" s="1"/>
  <c r="N91" i="2"/>
  <c r="Q91" i="2" s="1"/>
  <c r="M91" i="2"/>
  <c r="L91" i="2"/>
  <c r="H91" i="2"/>
  <c r="J91" i="2" s="1"/>
  <c r="X90" i="2"/>
  <c r="W90" i="2"/>
  <c r="V90" i="2"/>
  <c r="U90" i="2"/>
  <c r="T90" i="2"/>
  <c r="S90" i="2"/>
  <c r="R90" i="2"/>
  <c r="O90" i="2"/>
  <c r="N90" i="2"/>
  <c r="M90" i="2"/>
  <c r="L90" i="2"/>
  <c r="I90" i="2"/>
  <c r="H90" i="2"/>
  <c r="J90" i="2" s="1"/>
  <c r="X89" i="2"/>
  <c r="V89" i="2"/>
  <c r="W89" i="2" s="1"/>
  <c r="T89" i="2"/>
  <c r="U89" i="2" s="1"/>
  <c r="R89" i="2"/>
  <c r="S89" i="2" s="1"/>
  <c r="N89" i="2"/>
  <c r="M89" i="2"/>
  <c r="L89" i="2"/>
  <c r="H89" i="2"/>
  <c r="J89" i="2" s="1"/>
  <c r="X88" i="2"/>
  <c r="W88" i="2"/>
  <c r="V88" i="2"/>
  <c r="U88" i="2"/>
  <c r="T88" i="2"/>
  <c r="S88" i="2"/>
  <c r="R88" i="2"/>
  <c r="O88" i="2"/>
  <c r="N88" i="2"/>
  <c r="M88" i="2"/>
  <c r="L88" i="2"/>
  <c r="I88" i="2"/>
  <c r="H88" i="2"/>
  <c r="J88" i="2" s="1"/>
  <c r="X87" i="2"/>
  <c r="V87" i="2"/>
  <c r="W87" i="2" s="1"/>
  <c r="T87" i="2"/>
  <c r="U87" i="2" s="1"/>
  <c r="R87" i="2"/>
  <c r="S87" i="2" s="1"/>
  <c r="N87" i="2"/>
  <c r="M87" i="2"/>
  <c r="L87" i="2"/>
  <c r="H87" i="2"/>
  <c r="X86" i="2"/>
  <c r="W86" i="2"/>
  <c r="V86" i="2"/>
  <c r="U86" i="2"/>
  <c r="T86" i="2"/>
  <c r="S86" i="2"/>
  <c r="R86" i="2"/>
  <c r="N86" i="2"/>
  <c r="P86" i="2" s="1"/>
  <c r="M86" i="2"/>
  <c r="L86" i="2"/>
  <c r="J86" i="2"/>
  <c r="I86" i="2"/>
  <c r="K86" i="2" s="1"/>
  <c r="H86" i="2"/>
  <c r="X85" i="2"/>
  <c r="V85" i="2"/>
  <c r="W85" i="2" s="1"/>
  <c r="T85" i="2"/>
  <c r="U85" i="2" s="1"/>
  <c r="R85" i="2"/>
  <c r="N85" i="2"/>
  <c r="M85" i="2"/>
  <c r="L85" i="2"/>
  <c r="J85" i="2"/>
  <c r="H85" i="2"/>
  <c r="I85" i="2" s="1"/>
  <c r="K85" i="2" s="1"/>
  <c r="X84" i="2"/>
  <c r="W84" i="2"/>
  <c r="V84" i="2"/>
  <c r="U84" i="2"/>
  <c r="T84" i="2"/>
  <c r="R84" i="2"/>
  <c r="O84" i="2"/>
  <c r="N84" i="2"/>
  <c r="M84" i="2"/>
  <c r="L84" i="2"/>
  <c r="I84" i="2"/>
  <c r="H84" i="2"/>
  <c r="J84" i="2" s="1"/>
  <c r="K84" i="2" s="1"/>
  <c r="X83" i="2"/>
  <c r="V83" i="2"/>
  <c r="W83" i="2" s="1"/>
  <c r="T83" i="2"/>
  <c r="U83" i="2" s="1"/>
  <c r="R83" i="2"/>
  <c r="S83" i="2" s="1"/>
  <c r="N83" i="2"/>
  <c r="M83" i="2"/>
  <c r="L83" i="2"/>
  <c r="H83" i="2"/>
  <c r="J83" i="2" s="1"/>
  <c r="X82" i="2"/>
  <c r="W82" i="2"/>
  <c r="V82" i="2"/>
  <c r="U82" i="2"/>
  <c r="T82" i="2"/>
  <c r="S82" i="2"/>
  <c r="R82" i="2"/>
  <c r="O82" i="2"/>
  <c r="N82" i="2"/>
  <c r="M82" i="2"/>
  <c r="L82" i="2"/>
  <c r="I82" i="2"/>
  <c r="K82" i="2" s="1"/>
  <c r="H82" i="2"/>
  <c r="J82" i="2" s="1"/>
  <c r="X81" i="2"/>
  <c r="V81" i="2"/>
  <c r="W81" i="2" s="1"/>
  <c r="T81" i="2"/>
  <c r="U81" i="2" s="1"/>
  <c r="R81" i="2"/>
  <c r="S81" i="2" s="1"/>
  <c r="N81" i="2"/>
  <c r="M81" i="2"/>
  <c r="L81" i="2"/>
  <c r="H81" i="2"/>
  <c r="J81" i="2" s="1"/>
  <c r="X80" i="2"/>
  <c r="W80" i="2"/>
  <c r="V80" i="2"/>
  <c r="U80" i="2"/>
  <c r="T80" i="2"/>
  <c r="S80" i="2"/>
  <c r="R80" i="2"/>
  <c r="O80" i="2"/>
  <c r="N80" i="2"/>
  <c r="M80" i="2"/>
  <c r="L80" i="2"/>
  <c r="I80" i="2"/>
  <c r="H80" i="2"/>
  <c r="J80" i="2" s="1"/>
  <c r="X79" i="2"/>
  <c r="V79" i="2"/>
  <c r="W79" i="2" s="1"/>
  <c r="T79" i="2"/>
  <c r="U79" i="2" s="1"/>
  <c r="R79" i="2"/>
  <c r="S79" i="2" s="1"/>
  <c r="N79" i="2"/>
  <c r="M79" i="2"/>
  <c r="L79" i="2"/>
  <c r="H79" i="2"/>
  <c r="X78" i="2"/>
  <c r="W78" i="2"/>
  <c r="V78" i="2"/>
  <c r="U78" i="2"/>
  <c r="T78" i="2"/>
  <c r="S78" i="2"/>
  <c r="R78" i="2"/>
  <c r="N78" i="2"/>
  <c r="P78" i="2" s="1"/>
  <c r="M78" i="2"/>
  <c r="L78" i="2"/>
  <c r="J78" i="2"/>
  <c r="I78" i="2"/>
  <c r="K78" i="2" s="1"/>
  <c r="H78" i="2"/>
  <c r="X77" i="2"/>
  <c r="V77" i="2"/>
  <c r="W77" i="2" s="1"/>
  <c r="T77" i="2"/>
  <c r="U77" i="2" s="1"/>
  <c r="R77" i="2"/>
  <c r="N77" i="2"/>
  <c r="M77" i="2"/>
  <c r="L77" i="2"/>
  <c r="J77" i="2"/>
  <c r="H77" i="2"/>
  <c r="I77" i="2" s="1"/>
  <c r="K77" i="2" s="1"/>
  <c r="X76" i="2"/>
  <c r="W76" i="2"/>
  <c r="V76" i="2"/>
  <c r="U76" i="2"/>
  <c r="T76" i="2"/>
  <c r="R76" i="2"/>
  <c r="O76" i="2"/>
  <c r="N76" i="2"/>
  <c r="P76" i="2" s="1"/>
  <c r="M76" i="2"/>
  <c r="L76" i="2"/>
  <c r="I76" i="2"/>
  <c r="H76" i="2"/>
  <c r="J76" i="2" s="1"/>
  <c r="K76" i="2" s="1"/>
  <c r="X75" i="2"/>
  <c r="V75" i="2"/>
  <c r="W75" i="2" s="1"/>
  <c r="T75" i="2"/>
  <c r="U75" i="2" s="1"/>
  <c r="R75" i="2"/>
  <c r="S75" i="2" s="1"/>
  <c r="N75" i="2"/>
  <c r="Q75" i="2" s="1"/>
  <c r="M75" i="2"/>
  <c r="L75" i="2"/>
  <c r="H75" i="2"/>
  <c r="J75" i="2" s="1"/>
  <c r="X74" i="2"/>
  <c r="W74" i="2"/>
  <c r="V74" i="2"/>
  <c r="U74" i="2"/>
  <c r="T74" i="2"/>
  <c r="S74" i="2"/>
  <c r="R74" i="2"/>
  <c r="O74" i="2"/>
  <c r="N74" i="2"/>
  <c r="M74" i="2"/>
  <c r="L74" i="2"/>
  <c r="I74" i="2"/>
  <c r="H74" i="2"/>
  <c r="J74" i="2" s="1"/>
  <c r="X73" i="2"/>
  <c r="V73" i="2"/>
  <c r="W73" i="2" s="1"/>
  <c r="T73" i="2"/>
  <c r="U73" i="2" s="1"/>
  <c r="R73" i="2"/>
  <c r="S73" i="2" s="1"/>
  <c r="N73" i="2"/>
  <c r="M73" i="2"/>
  <c r="L73" i="2"/>
  <c r="H73" i="2"/>
  <c r="J73" i="2" s="1"/>
  <c r="X72" i="2"/>
  <c r="W72" i="2"/>
  <c r="V72" i="2"/>
  <c r="U72" i="2"/>
  <c r="T72" i="2"/>
  <c r="S72" i="2"/>
  <c r="R72" i="2"/>
  <c r="O72" i="2"/>
  <c r="N72" i="2"/>
  <c r="M72" i="2"/>
  <c r="L72" i="2"/>
  <c r="I72" i="2"/>
  <c r="H72" i="2"/>
  <c r="J72" i="2" s="1"/>
  <c r="X71" i="2"/>
  <c r="V71" i="2"/>
  <c r="W71" i="2" s="1"/>
  <c r="T71" i="2"/>
  <c r="U71" i="2" s="1"/>
  <c r="R71" i="2"/>
  <c r="S71" i="2" s="1"/>
  <c r="N71" i="2"/>
  <c r="M71" i="2"/>
  <c r="L71" i="2"/>
  <c r="H71" i="2"/>
  <c r="X70" i="2"/>
  <c r="W70" i="2"/>
  <c r="V70" i="2"/>
  <c r="U70" i="2"/>
  <c r="T70" i="2"/>
  <c r="S70" i="2"/>
  <c r="R70" i="2"/>
  <c r="N70" i="2"/>
  <c r="P70" i="2" s="1"/>
  <c r="M70" i="2"/>
  <c r="L70" i="2"/>
  <c r="J70" i="2"/>
  <c r="I70" i="2"/>
  <c r="K70" i="2" s="1"/>
  <c r="H70" i="2"/>
  <c r="X69" i="2"/>
  <c r="V69" i="2"/>
  <c r="W69" i="2" s="1"/>
  <c r="T69" i="2"/>
  <c r="R69" i="2"/>
  <c r="S69" i="2" s="1"/>
  <c r="N69" i="2"/>
  <c r="M69" i="2"/>
  <c r="L69" i="2"/>
  <c r="J69" i="2"/>
  <c r="H69" i="2"/>
  <c r="I69" i="2" s="1"/>
  <c r="K69" i="2" s="1"/>
  <c r="X68" i="2"/>
  <c r="W68" i="2"/>
  <c r="V68" i="2"/>
  <c r="T68" i="2"/>
  <c r="S68" i="2"/>
  <c r="R68" i="2"/>
  <c r="O68" i="2"/>
  <c r="N68" i="2"/>
  <c r="P68" i="2" s="1"/>
  <c r="M68" i="2"/>
  <c r="L68" i="2"/>
  <c r="I68" i="2"/>
  <c r="H68" i="2"/>
  <c r="J68" i="2" s="1"/>
  <c r="K68" i="2" s="1"/>
  <c r="X67" i="2"/>
  <c r="V67" i="2"/>
  <c r="W67" i="2" s="1"/>
  <c r="T67" i="2"/>
  <c r="U67" i="2" s="1"/>
  <c r="R67" i="2"/>
  <c r="S67" i="2" s="1"/>
  <c r="N67" i="2"/>
  <c r="M67" i="2"/>
  <c r="L67" i="2"/>
  <c r="H67" i="2"/>
  <c r="J67" i="2" s="1"/>
  <c r="X66" i="2"/>
  <c r="W66" i="2"/>
  <c r="V66" i="2"/>
  <c r="U66" i="2"/>
  <c r="T66" i="2"/>
  <c r="S66" i="2"/>
  <c r="R66" i="2"/>
  <c r="O66" i="2"/>
  <c r="N66" i="2"/>
  <c r="Q66" i="2" s="1"/>
  <c r="M66" i="2"/>
  <c r="L66" i="2"/>
  <c r="I66" i="2"/>
  <c r="K66" i="2" s="1"/>
  <c r="H66" i="2"/>
  <c r="J66" i="2" s="1"/>
  <c r="X65" i="2"/>
  <c r="V65" i="2"/>
  <c r="W65" i="2" s="1"/>
  <c r="T65" i="2"/>
  <c r="U65" i="2" s="1"/>
  <c r="R65" i="2"/>
  <c r="S65" i="2" s="1"/>
  <c r="N65" i="2"/>
  <c r="Q35" i="2" s="1"/>
  <c r="M65" i="2"/>
  <c r="L65" i="2"/>
  <c r="H65" i="2"/>
  <c r="X64" i="2"/>
  <c r="W64" i="2"/>
  <c r="V64" i="2"/>
  <c r="U64" i="2"/>
  <c r="T64" i="2"/>
  <c r="S64" i="2"/>
  <c r="R64" i="2"/>
  <c r="N64" i="2"/>
  <c r="M64" i="2"/>
  <c r="L64" i="2"/>
  <c r="I64" i="2"/>
  <c r="H64" i="2"/>
  <c r="J64" i="2" s="1"/>
  <c r="X63" i="2"/>
  <c r="V63" i="2"/>
  <c r="W63" i="2" s="1"/>
  <c r="T63" i="2"/>
  <c r="U63" i="2" s="1"/>
  <c r="R63" i="2"/>
  <c r="S63" i="2" s="1"/>
  <c r="N63" i="2"/>
  <c r="M63" i="2"/>
  <c r="L63" i="2"/>
  <c r="H63" i="2"/>
  <c r="I63" i="2" s="1"/>
  <c r="X62" i="2"/>
  <c r="W62" i="2"/>
  <c r="V62" i="2"/>
  <c r="U62" i="2"/>
  <c r="T62" i="2"/>
  <c r="S62" i="2"/>
  <c r="R62" i="2"/>
  <c r="N62" i="2"/>
  <c r="M62" i="2"/>
  <c r="L62" i="2"/>
  <c r="J62" i="2"/>
  <c r="I62" i="2"/>
  <c r="K62" i="2" s="1"/>
  <c r="H62" i="2"/>
  <c r="X61" i="2"/>
  <c r="V61" i="2"/>
  <c r="W61" i="2" s="1"/>
  <c r="T61" i="2"/>
  <c r="U61" i="2" s="1"/>
  <c r="R61" i="2"/>
  <c r="S60" i="2" s="1"/>
  <c r="N61" i="2"/>
  <c r="M61" i="2"/>
  <c r="L61" i="2"/>
  <c r="J61" i="2"/>
  <c r="H61" i="2"/>
  <c r="I61" i="2" s="1"/>
  <c r="K61" i="2" s="1"/>
  <c r="X60" i="2"/>
  <c r="W60" i="2"/>
  <c r="V60" i="2"/>
  <c r="U60" i="2"/>
  <c r="T60" i="2"/>
  <c r="R60" i="2"/>
  <c r="N60" i="2"/>
  <c r="M60" i="2"/>
  <c r="L60" i="2"/>
  <c r="K60" i="2"/>
  <c r="I60" i="2"/>
  <c r="H60" i="2"/>
  <c r="J60" i="2" s="1"/>
  <c r="X59" i="2"/>
  <c r="V59" i="2"/>
  <c r="W59" i="2" s="1"/>
  <c r="T59" i="2"/>
  <c r="U59" i="2" s="1"/>
  <c r="R59" i="2"/>
  <c r="S59" i="2" s="1"/>
  <c r="N59" i="2"/>
  <c r="M59" i="2"/>
  <c r="L59" i="2"/>
  <c r="H59" i="2"/>
  <c r="X58" i="2"/>
  <c r="V58" i="2"/>
  <c r="W58" i="2" s="1"/>
  <c r="U58" i="2"/>
  <c r="T58" i="2"/>
  <c r="S58" i="2"/>
  <c r="R58" i="2"/>
  <c r="N58" i="2"/>
  <c r="M58" i="2"/>
  <c r="L58" i="2"/>
  <c r="I58" i="2"/>
  <c r="H58" i="2"/>
  <c r="J58" i="2" s="1"/>
  <c r="X57" i="2"/>
  <c r="V57" i="2"/>
  <c r="W57" i="2" s="1"/>
  <c r="T57" i="2"/>
  <c r="U57" i="2" s="1"/>
  <c r="R57" i="2"/>
  <c r="N57" i="2"/>
  <c r="M57" i="2"/>
  <c r="L57" i="2"/>
  <c r="H57" i="2"/>
  <c r="I57" i="2" s="1"/>
  <c r="X56" i="2"/>
  <c r="W56" i="2"/>
  <c r="V56" i="2"/>
  <c r="U56" i="2"/>
  <c r="T56" i="2"/>
  <c r="R56" i="2"/>
  <c r="O56" i="2"/>
  <c r="N56" i="2"/>
  <c r="M56" i="2"/>
  <c r="L56" i="2"/>
  <c r="H56" i="2"/>
  <c r="J56" i="2" s="1"/>
  <c r="X55" i="2"/>
  <c r="V55" i="2"/>
  <c r="T55" i="2"/>
  <c r="U55" i="2" s="1"/>
  <c r="R55" i="2"/>
  <c r="S55" i="2" s="1"/>
  <c r="N55" i="2"/>
  <c r="M55" i="2"/>
  <c r="L55" i="2"/>
  <c r="J55" i="2"/>
  <c r="H55" i="2"/>
  <c r="I55" i="2" s="1"/>
  <c r="X54" i="2"/>
  <c r="V54" i="2"/>
  <c r="U54" i="2"/>
  <c r="T54" i="2"/>
  <c r="S54" i="2"/>
  <c r="R54" i="2"/>
  <c r="N54" i="2"/>
  <c r="M54" i="2"/>
  <c r="L54" i="2"/>
  <c r="J54" i="2"/>
  <c r="K54" i="2" s="1"/>
  <c r="I54" i="2"/>
  <c r="H54" i="2"/>
  <c r="X53" i="2"/>
  <c r="V53" i="2"/>
  <c r="W53" i="2" s="1"/>
  <c r="T53" i="2"/>
  <c r="U53" i="2" s="1"/>
  <c r="R53" i="2"/>
  <c r="P53" i="2"/>
  <c r="N53" i="2"/>
  <c r="M53" i="2"/>
  <c r="L53" i="2"/>
  <c r="H53" i="2"/>
  <c r="I53" i="2" s="1"/>
  <c r="X52" i="2"/>
  <c r="W52" i="2"/>
  <c r="V52" i="2"/>
  <c r="T52" i="2"/>
  <c r="U52" i="2" s="1"/>
  <c r="R52" i="2"/>
  <c r="O52" i="2"/>
  <c r="N52" i="2"/>
  <c r="P52" i="2" s="1"/>
  <c r="M52" i="2"/>
  <c r="L52" i="2"/>
  <c r="I52" i="2"/>
  <c r="K52" i="2" s="1"/>
  <c r="H52" i="2"/>
  <c r="J52" i="2" s="1"/>
  <c r="X51" i="2"/>
  <c r="V51" i="2"/>
  <c r="W51" i="2" s="1"/>
  <c r="U51" i="2"/>
  <c r="T51" i="2"/>
  <c r="R51" i="2"/>
  <c r="S51" i="2" s="1"/>
  <c r="N51" i="2"/>
  <c r="M51" i="2"/>
  <c r="L51" i="2"/>
  <c r="H51" i="2"/>
  <c r="I51" i="2" s="1"/>
  <c r="X50" i="2"/>
  <c r="V50" i="2"/>
  <c r="W50" i="2" s="1"/>
  <c r="U50" i="2"/>
  <c r="T50" i="2"/>
  <c r="S50" i="2"/>
  <c r="R50" i="2"/>
  <c r="N50" i="2"/>
  <c r="M50" i="2"/>
  <c r="L50" i="2"/>
  <c r="I50" i="2"/>
  <c r="H50" i="2"/>
  <c r="J50" i="2" s="1"/>
  <c r="X49" i="2"/>
  <c r="V49" i="2"/>
  <c r="W49" i="2" s="1"/>
  <c r="T49" i="2"/>
  <c r="U49" i="2" s="1"/>
  <c r="R49" i="2"/>
  <c r="S49" i="2" s="1"/>
  <c r="N49" i="2"/>
  <c r="M49" i="2"/>
  <c r="L49" i="2"/>
  <c r="H49" i="2"/>
  <c r="I49" i="2" s="1"/>
  <c r="X48" i="2"/>
  <c r="W48" i="2"/>
  <c r="V48" i="2"/>
  <c r="U48" i="2"/>
  <c r="T48" i="2"/>
  <c r="R48" i="2"/>
  <c r="N48" i="2"/>
  <c r="M48" i="2"/>
  <c r="L48" i="2"/>
  <c r="H48" i="2"/>
  <c r="J48" i="2" s="1"/>
  <c r="X47" i="2"/>
  <c r="V47" i="2"/>
  <c r="W47" i="2" s="1"/>
  <c r="T47" i="2"/>
  <c r="U47" i="2" s="1"/>
  <c r="R47" i="2"/>
  <c r="S47" i="2" s="1"/>
  <c r="N47" i="2"/>
  <c r="M47" i="2"/>
  <c r="L47" i="2"/>
  <c r="H47" i="2"/>
  <c r="J47" i="2" s="1"/>
  <c r="X46" i="2"/>
  <c r="V46" i="2"/>
  <c r="T46" i="2"/>
  <c r="U46" i="2" s="1"/>
  <c r="R46" i="2"/>
  <c r="N46" i="2"/>
  <c r="M46" i="2"/>
  <c r="L46" i="2"/>
  <c r="J46" i="2"/>
  <c r="I46" i="2"/>
  <c r="K46" i="2" s="1"/>
  <c r="H46" i="2"/>
  <c r="X45" i="2"/>
  <c r="V45" i="2"/>
  <c r="W45" i="2" s="1"/>
  <c r="T45" i="2"/>
  <c r="U45" i="2" s="1"/>
  <c r="R45" i="2"/>
  <c r="S44" i="2" s="1"/>
  <c r="N45" i="2"/>
  <c r="M45" i="2"/>
  <c r="L45" i="2"/>
  <c r="J45" i="2"/>
  <c r="H45" i="2"/>
  <c r="I45" i="2" s="1"/>
  <c r="K45" i="2" s="1"/>
  <c r="X44" i="2"/>
  <c r="V44" i="2"/>
  <c r="W44" i="2" s="1"/>
  <c r="T44" i="2"/>
  <c r="U44" i="2" s="1"/>
  <c r="R44" i="2"/>
  <c r="N44" i="2"/>
  <c r="M44" i="2"/>
  <c r="L44" i="2"/>
  <c r="I44" i="2"/>
  <c r="K44" i="2" s="1"/>
  <c r="H44" i="2"/>
  <c r="J44" i="2" s="1"/>
  <c r="X43" i="2"/>
  <c r="V43" i="2"/>
  <c r="W43" i="2" s="1"/>
  <c r="U43" i="2"/>
  <c r="T43" i="2"/>
  <c r="R43" i="2"/>
  <c r="S43" i="2" s="1"/>
  <c r="N43" i="2"/>
  <c r="M43" i="2"/>
  <c r="L43" i="2"/>
  <c r="J43" i="2"/>
  <c r="H43" i="2"/>
  <c r="I43" i="2" s="1"/>
  <c r="X42" i="2"/>
  <c r="V42" i="2"/>
  <c r="U42" i="2"/>
  <c r="T42" i="2"/>
  <c r="S42" i="2"/>
  <c r="R42" i="2"/>
  <c r="N42" i="2"/>
  <c r="M42" i="2"/>
  <c r="L42" i="2"/>
  <c r="I42" i="2"/>
  <c r="K42" i="2" s="1"/>
  <c r="H42" i="2"/>
  <c r="J42" i="2" s="1"/>
  <c r="X41" i="2"/>
  <c r="V41" i="2"/>
  <c r="W40" i="2" s="1"/>
  <c r="T41" i="2"/>
  <c r="U41" i="2" s="1"/>
  <c r="R41" i="2"/>
  <c r="S41" i="2" s="1"/>
  <c r="Q41" i="2"/>
  <c r="N41" i="2"/>
  <c r="M41" i="2"/>
  <c r="L41" i="2"/>
  <c r="H41" i="2"/>
  <c r="X40" i="2"/>
  <c r="Y39" i="2" s="1"/>
  <c r="V40" i="2"/>
  <c r="T40" i="2"/>
  <c r="R40" i="2"/>
  <c r="S40" i="2" s="1"/>
  <c r="N40" i="2"/>
  <c r="M40" i="2"/>
  <c r="L40" i="2"/>
  <c r="H40" i="2"/>
  <c r="J40" i="2" s="1"/>
  <c r="X39" i="2"/>
  <c r="W39" i="2"/>
  <c r="V39" i="2"/>
  <c r="T39" i="2"/>
  <c r="U39" i="2" s="1"/>
  <c r="R39" i="2"/>
  <c r="S39" i="2" s="1"/>
  <c r="N39" i="2"/>
  <c r="M39" i="2"/>
  <c r="L39" i="2"/>
  <c r="J39" i="2"/>
  <c r="I39" i="2"/>
  <c r="H39" i="2"/>
  <c r="X38" i="2"/>
  <c r="Y38" i="2" s="1"/>
  <c r="V38" i="2"/>
  <c r="W38" i="2" s="1"/>
  <c r="T38" i="2"/>
  <c r="U38" i="2" s="1"/>
  <c r="S38" i="2"/>
  <c r="R38" i="2"/>
  <c r="N38" i="2"/>
  <c r="M38" i="2"/>
  <c r="L38" i="2"/>
  <c r="H38" i="2"/>
  <c r="J38" i="2" s="1"/>
  <c r="X37" i="2"/>
  <c r="Y37" i="2" s="1"/>
  <c r="V37" i="2"/>
  <c r="W37" i="2" s="1"/>
  <c r="T37" i="2"/>
  <c r="R37" i="2"/>
  <c r="S37" i="2" s="1"/>
  <c r="N37" i="2"/>
  <c r="M37" i="2"/>
  <c r="L37" i="2"/>
  <c r="H37" i="2"/>
  <c r="J37" i="2" s="1"/>
  <c r="X36" i="2"/>
  <c r="Y36" i="2" s="1"/>
  <c r="W36" i="2"/>
  <c r="V36" i="2"/>
  <c r="T36" i="2"/>
  <c r="U36" i="2" s="1"/>
  <c r="R36" i="2"/>
  <c r="S36" i="2" s="1"/>
  <c r="O36" i="2"/>
  <c r="N36" i="2"/>
  <c r="M36" i="2"/>
  <c r="L36" i="2"/>
  <c r="H36" i="2"/>
  <c r="J36" i="2" s="1"/>
  <c r="Y35" i="2"/>
  <c r="X35" i="2"/>
  <c r="V35" i="2"/>
  <c r="W35" i="2" s="1"/>
  <c r="T35" i="2"/>
  <c r="U35" i="2" s="1"/>
  <c r="R35" i="2"/>
  <c r="S35" i="2" s="1"/>
  <c r="O35" i="2"/>
  <c r="N35" i="2"/>
  <c r="M35" i="2"/>
  <c r="L35" i="2"/>
  <c r="J35" i="2"/>
  <c r="I35" i="2"/>
  <c r="K35" i="2" s="1"/>
  <c r="H35" i="2"/>
  <c r="Y34" i="2"/>
  <c r="X34" i="2"/>
  <c r="V34" i="2"/>
  <c r="W34" i="2" s="1"/>
  <c r="T34" i="2"/>
  <c r="U34" i="2" s="1"/>
  <c r="S34" i="2"/>
  <c r="R34" i="2"/>
  <c r="N34" i="2"/>
  <c r="P34" i="2" s="1"/>
  <c r="M34" i="2"/>
  <c r="L34" i="2"/>
  <c r="H34" i="2"/>
  <c r="J34" i="2" s="1"/>
  <c r="X33" i="2"/>
  <c r="Y33" i="2" s="1"/>
  <c r="V33" i="2"/>
  <c r="W33" i="2" s="1"/>
  <c r="U33" i="2"/>
  <c r="T33" i="2"/>
  <c r="R33" i="2"/>
  <c r="S33" i="2" s="1"/>
  <c r="N33" i="2"/>
  <c r="M33" i="2"/>
  <c r="L33" i="2"/>
  <c r="J33" i="2"/>
  <c r="H33" i="2"/>
  <c r="I33" i="2" s="1"/>
  <c r="K33" i="2" s="1"/>
  <c r="X32" i="2"/>
  <c r="Y32" i="2" s="1"/>
  <c r="W32" i="2"/>
  <c r="V32" i="2"/>
  <c r="U32" i="2"/>
  <c r="T32" i="2"/>
  <c r="R32" i="2"/>
  <c r="O32" i="2"/>
  <c r="N32" i="2"/>
  <c r="M32" i="2"/>
  <c r="L32" i="2"/>
  <c r="H32" i="2"/>
  <c r="J32" i="2" s="1"/>
  <c r="Y31" i="2"/>
  <c r="X31" i="2"/>
  <c r="V31" i="2"/>
  <c r="W31" i="2" s="1"/>
  <c r="T31" i="2"/>
  <c r="U31" i="2" s="1"/>
  <c r="R31" i="2"/>
  <c r="S31" i="2" s="1"/>
  <c r="N31" i="2"/>
  <c r="P30" i="2" s="1"/>
  <c r="M31" i="2"/>
  <c r="L31" i="2"/>
  <c r="J31" i="2"/>
  <c r="I31" i="2"/>
  <c r="K31" i="2" s="1"/>
  <c r="H31" i="2"/>
  <c r="X30" i="2"/>
  <c r="Y30" i="2" s="1"/>
  <c r="W30" i="2"/>
  <c r="V30" i="2"/>
  <c r="T30" i="2"/>
  <c r="U30" i="2" s="1"/>
  <c r="S30" i="2"/>
  <c r="R30" i="2"/>
  <c r="N30" i="2"/>
  <c r="M30" i="2"/>
  <c r="L30" i="2"/>
  <c r="H30" i="2"/>
  <c r="J30" i="2" s="1"/>
  <c r="X29" i="2"/>
  <c r="V29" i="2"/>
  <c r="W29" i="2" s="1"/>
  <c r="U29" i="2"/>
  <c r="T29" i="2"/>
  <c r="R29" i="2"/>
  <c r="S29" i="2" s="1"/>
  <c r="N29" i="2"/>
  <c r="M29" i="2"/>
  <c r="L29" i="2"/>
  <c r="H29" i="2"/>
  <c r="J29" i="2" s="1"/>
  <c r="X28" i="2"/>
  <c r="Y28" i="2" s="1"/>
  <c r="W28" i="2"/>
  <c r="V28" i="2"/>
  <c r="T28" i="2"/>
  <c r="U28" i="2" s="1"/>
  <c r="R28" i="2"/>
  <c r="S28" i="2" s="1"/>
  <c r="N28" i="2"/>
  <c r="M28" i="2"/>
  <c r="L28" i="2"/>
  <c r="K28" i="2"/>
  <c r="J28" i="2"/>
  <c r="H28" i="2"/>
  <c r="I28" i="2" s="1"/>
  <c r="Y27" i="2"/>
  <c r="X27" i="2"/>
  <c r="V27" i="2"/>
  <c r="W27" i="2" s="1"/>
  <c r="T27" i="2"/>
  <c r="U26" i="2" s="1"/>
  <c r="R27" i="2"/>
  <c r="S27" i="2" s="1"/>
  <c r="N27" i="2"/>
  <c r="M27" i="2"/>
  <c r="L27" i="2"/>
  <c r="K27" i="2"/>
  <c r="J27" i="2"/>
  <c r="I27" i="2"/>
  <c r="H27" i="2"/>
  <c r="X26" i="2"/>
  <c r="Y26" i="2" s="1"/>
  <c r="V26" i="2"/>
  <c r="W26" i="2" s="1"/>
  <c r="T26" i="2"/>
  <c r="S26" i="2"/>
  <c r="R26" i="2"/>
  <c r="N26" i="2"/>
  <c r="M26" i="2"/>
  <c r="L26" i="2"/>
  <c r="H26" i="2"/>
  <c r="J26" i="2" s="1"/>
  <c r="X25" i="2"/>
  <c r="Y25" i="2" s="1"/>
  <c r="V25" i="2"/>
  <c r="W24" i="2" s="1"/>
  <c r="U25" i="2"/>
  <c r="T25" i="2"/>
  <c r="R25" i="2"/>
  <c r="S25" i="2" s="1"/>
  <c r="O25" i="2"/>
  <c r="N25" i="2"/>
  <c r="P24" i="2" s="1"/>
  <c r="M25" i="2"/>
  <c r="L25" i="2"/>
  <c r="H25" i="2"/>
  <c r="J25" i="2" s="1"/>
  <c r="X24" i="2"/>
  <c r="Y23" i="2" s="1"/>
  <c r="V24" i="2"/>
  <c r="T24" i="2"/>
  <c r="U24" i="2" s="1"/>
  <c r="R24" i="2"/>
  <c r="S24" i="2" s="1"/>
  <c r="N24" i="2"/>
  <c r="M24" i="2"/>
  <c r="L24" i="2"/>
  <c r="H24" i="2"/>
  <c r="J24" i="2" s="1"/>
  <c r="X23" i="2"/>
  <c r="V23" i="2"/>
  <c r="W23" i="2" s="1"/>
  <c r="T23" i="2"/>
  <c r="U23" i="2" s="1"/>
  <c r="R23" i="2"/>
  <c r="S23" i="2" s="1"/>
  <c r="N23" i="2"/>
  <c r="M23" i="2"/>
  <c r="L23" i="2"/>
  <c r="J23" i="2"/>
  <c r="I23" i="2"/>
  <c r="K23" i="2" s="1"/>
  <c r="H23" i="2"/>
  <c r="X22" i="2"/>
  <c r="Y22" i="2" s="1"/>
  <c r="V22" i="2"/>
  <c r="W22" i="2" s="1"/>
  <c r="T22" i="2"/>
  <c r="U22" i="2" s="1"/>
  <c r="S22" i="2"/>
  <c r="R22" i="2"/>
  <c r="N22" i="2"/>
  <c r="M22" i="2"/>
  <c r="L22" i="2"/>
  <c r="H22" i="2"/>
  <c r="J22" i="2" s="1"/>
  <c r="X21" i="2"/>
  <c r="Y21" i="2" s="1"/>
  <c r="V21" i="2"/>
  <c r="W21" i="2" s="1"/>
  <c r="U21" i="2"/>
  <c r="T21" i="2"/>
  <c r="R21" i="2"/>
  <c r="S21" i="2" s="1"/>
  <c r="N21" i="2"/>
  <c r="M21" i="2"/>
  <c r="L21" i="2"/>
  <c r="I21" i="2"/>
  <c r="H21" i="2"/>
  <c r="J21" i="2" s="1"/>
  <c r="X20" i="2"/>
  <c r="Y20" i="2" s="1"/>
  <c r="V20" i="2"/>
  <c r="T20" i="2"/>
  <c r="U20" i="2" s="1"/>
  <c r="R20" i="2"/>
  <c r="S20" i="2" s="1"/>
  <c r="O20" i="2"/>
  <c r="N20" i="2"/>
  <c r="M20" i="2"/>
  <c r="L20" i="2"/>
  <c r="H20" i="2"/>
  <c r="X19" i="2"/>
  <c r="V19" i="2"/>
  <c r="W19" i="2" s="1"/>
  <c r="T19" i="2"/>
  <c r="U19" i="2" s="1"/>
  <c r="R19" i="2"/>
  <c r="S19" i="2" s="1"/>
  <c r="Q19" i="2"/>
  <c r="N19" i="2"/>
  <c r="M19" i="2"/>
  <c r="L19" i="2"/>
  <c r="J19" i="2"/>
  <c r="I19" i="2"/>
  <c r="K19" i="2" s="1"/>
  <c r="H19" i="2"/>
  <c r="X18" i="2"/>
  <c r="Y18" i="2" s="1"/>
  <c r="V18" i="2"/>
  <c r="W18" i="2" s="1"/>
  <c r="T18" i="2"/>
  <c r="U18" i="2" s="1"/>
  <c r="R18" i="2"/>
  <c r="N18" i="2"/>
  <c r="M18" i="2"/>
  <c r="L18" i="2"/>
  <c r="H18" i="2"/>
  <c r="J18" i="2" s="1"/>
  <c r="X17" i="2"/>
  <c r="Y17" i="2" s="1"/>
  <c r="W17" i="2"/>
  <c r="V17" i="2"/>
  <c r="U17" i="2"/>
  <c r="T17" i="2"/>
  <c r="R17" i="2"/>
  <c r="S17" i="2" s="1"/>
  <c r="N17" i="2"/>
  <c r="M17" i="2"/>
  <c r="L17" i="2"/>
  <c r="I17" i="2"/>
  <c r="H17" i="2"/>
  <c r="J17" i="2" s="1"/>
  <c r="X16" i="2"/>
  <c r="Y15" i="2" s="1"/>
  <c r="W16" i="2"/>
  <c r="V16" i="2"/>
  <c r="T16" i="2"/>
  <c r="U16" i="2" s="1"/>
  <c r="S16" i="2"/>
  <c r="R16" i="2"/>
  <c r="N16" i="2"/>
  <c r="M16" i="2"/>
  <c r="L16" i="2"/>
  <c r="I16" i="2"/>
  <c r="K16" i="2" s="1"/>
  <c r="H16" i="2"/>
  <c r="J16" i="2" s="1"/>
  <c r="X15" i="2"/>
  <c r="V15" i="2"/>
  <c r="W15" i="2" s="1"/>
  <c r="T15" i="2"/>
  <c r="U15" i="2" s="1"/>
  <c r="S15" i="2"/>
  <c r="R15" i="2"/>
  <c r="N15" i="2"/>
  <c r="M15" i="2"/>
  <c r="L15" i="2"/>
  <c r="J15" i="2"/>
  <c r="I15" i="2"/>
  <c r="K15" i="2" s="1"/>
  <c r="H15" i="2"/>
  <c r="X14" i="2"/>
  <c r="Y14" i="2" s="1"/>
  <c r="V14" i="2"/>
  <c r="W14" i="2" s="1"/>
  <c r="T14" i="2"/>
  <c r="U14" i="2" s="1"/>
  <c r="S14" i="2"/>
  <c r="R14" i="2"/>
  <c r="N14" i="2"/>
  <c r="Q14" i="2" s="1"/>
  <c r="M14" i="2"/>
  <c r="L14" i="2"/>
  <c r="H14" i="2"/>
  <c r="J14" i="2" s="1"/>
  <c r="X13" i="2"/>
  <c r="Y13" i="2" s="1"/>
  <c r="V13" i="2"/>
  <c r="W12" i="2" s="1"/>
  <c r="U13" i="2"/>
  <c r="T13" i="2"/>
  <c r="R13" i="2"/>
  <c r="S13" i="2" s="1"/>
  <c r="N13" i="2"/>
  <c r="M13" i="2"/>
  <c r="L13" i="2"/>
  <c r="H13" i="2"/>
  <c r="J13" i="2" s="1"/>
  <c r="Y12" i="2"/>
  <c r="X12" i="2"/>
  <c r="V12" i="2"/>
  <c r="T12" i="2"/>
  <c r="U12" i="2" s="1"/>
  <c r="R12" i="2"/>
  <c r="S12" i="2" s="1"/>
  <c r="O12" i="2"/>
  <c r="N12" i="2"/>
  <c r="M12" i="2"/>
  <c r="L12" i="2"/>
  <c r="H12" i="2"/>
  <c r="J12" i="2" s="1"/>
  <c r="Y11" i="2"/>
  <c r="X11" i="2"/>
  <c r="V11" i="2"/>
  <c r="W11" i="2" s="1"/>
  <c r="T11" i="2"/>
  <c r="U11" i="2" s="1"/>
  <c r="S11" i="2"/>
  <c r="R11" i="2"/>
  <c r="N11" i="2"/>
  <c r="M11" i="2"/>
  <c r="L11" i="2"/>
  <c r="K11" i="2"/>
  <c r="J11" i="2"/>
  <c r="I11" i="2"/>
  <c r="H11" i="2"/>
  <c r="X10" i="2"/>
  <c r="Y10" i="2" s="1"/>
  <c r="V10" i="2"/>
  <c r="W10" i="2" s="1"/>
  <c r="T10" i="2"/>
  <c r="U9" i="2" s="1"/>
  <c r="S10" i="2"/>
  <c r="R10" i="2"/>
  <c r="N10" i="2"/>
  <c r="M10" i="2"/>
  <c r="L10" i="2"/>
  <c r="H10" i="2"/>
  <c r="J10" i="2" s="1"/>
  <c r="X9" i="2"/>
  <c r="Y9" i="2" s="1"/>
  <c r="W9" i="2"/>
  <c r="V9" i="2"/>
  <c r="T9" i="2"/>
  <c r="R9" i="2"/>
  <c r="S9" i="2" s="1"/>
  <c r="N9" i="2"/>
  <c r="M9" i="2"/>
  <c r="L9" i="2"/>
  <c r="H9" i="2"/>
  <c r="J9" i="2" s="1"/>
  <c r="Y8" i="2"/>
  <c r="X8" i="2"/>
  <c r="W8" i="2"/>
  <c r="V8" i="2"/>
  <c r="T8" i="2"/>
  <c r="U8" i="2" s="1"/>
  <c r="R8" i="2"/>
  <c r="S8" i="2" s="1"/>
  <c r="Q8" i="2"/>
  <c r="N8" i="2"/>
  <c r="M8" i="2"/>
  <c r="L8" i="2"/>
  <c r="H8" i="2"/>
  <c r="J8" i="2" s="1"/>
  <c r="Y7" i="2"/>
  <c r="X7" i="2"/>
  <c r="V7" i="2"/>
  <c r="W7" i="2" s="1"/>
  <c r="T7" i="2"/>
  <c r="U7" i="2" s="1"/>
  <c r="R7" i="2"/>
  <c r="S6" i="2" s="1"/>
  <c r="N7" i="2"/>
  <c r="P7" i="2" s="1"/>
  <c r="M7" i="2"/>
  <c r="L7" i="2"/>
  <c r="K7" i="2"/>
  <c r="J7" i="2"/>
  <c r="I7" i="2"/>
  <c r="H7" i="2"/>
  <c r="X6" i="2"/>
  <c r="Y6" i="2" s="1"/>
  <c r="V6" i="2"/>
  <c r="W6" i="2" s="1"/>
  <c r="T6" i="2"/>
  <c r="U6" i="2" s="1"/>
  <c r="R6" i="2"/>
  <c r="N6" i="2"/>
  <c r="M6" i="2"/>
  <c r="L6" i="2"/>
  <c r="H6" i="2"/>
  <c r="J6" i="2" s="1"/>
  <c r="X5" i="2"/>
  <c r="Y5" i="2" s="1"/>
  <c r="V5" i="2"/>
  <c r="W4" i="2" s="1"/>
  <c r="U5" i="2"/>
  <c r="T5" i="2"/>
  <c r="R5" i="2"/>
  <c r="S5" i="2" s="1"/>
  <c r="N5" i="2"/>
  <c r="Q4" i="2" s="1"/>
  <c r="M5" i="2"/>
  <c r="L5" i="2"/>
  <c r="I5" i="2"/>
  <c r="K5" i="2" s="1"/>
  <c r="H5" i="2"/>
  <c r="J5" i="2" s="1"/>
  <c r="Y4" i="2"/>
  <c r="X4" i="2"/>
  <c r="V4" i="2"/>
  <c r="T4" i="2"/>
  <c r="U4" i="2" s="1"/>
  <c r="R4" i="2"/>
  <c r="S4" i="2" s="1"/>
  <c r="P4" i="2"/>
  <c r="N4" i="2"/>
  <c r="M4" i="2"/>
  <c r="L4" i="2"/>
  <c r="J4" i="2"/>
  <c r="H4" i="2"/>
  <c r="I4" i="2" s="1"/>
  <c r="K4" i="2" s="1"/>
  <c r="Y3" i="2"/>
  <c r="X3" i="2"/>
  <c r="V3" i="2"/>
  <c r="W3" i="2" s="1"/>
  <c r="T3" i="2"/>
  <c r="U3" i="2" s="1"/>
  <c r="S3" i="2"/>
  <c r="R3" i="2"/>
  <c r="N3" i="2"/>
  <c r="M3" i="2"/>
  <c r="L3" i="2"/>
  <c r="J3" i="2"/>
  <c r="I3" i="2"/>
  <c r="K3" i="2" s="1"/>
  <c r="H3" i="2"/>
  <c r="X2" i="2"/>
  <c r="Y2" i="2" s="1"/>
  <c r="V2" i="2"/>
  <c r="W2" i="2" s="1"/>
  <c r="T2" i="2"/>
  <c r="U2" i="2" s="1"/>
  <c r="S2" i="2"/>
  <c r="R2" i="2"/>
  <c r="N2" i="2"/>
  <c r="M2" i="2"/>
  <c r="L2" i="2"/>
  <c r="H2" i="2"/>
  <c r="K9" i="1" a="1"/>
  <c r="G9" i="1" a="1"/>
  <c r="C9" i="1" a="1"/>
  <c r="H8" i="1" a="1"/>
  <c r="D8" i="1" a="1"/>
  <c r="I7" i="1" a="1"/>
  <c r="E7" i="1" a="1"/>
  <c r="J6" i="1" a="1"/>
  <c r="F6" i="1" a="1"/>
  <c r="J9" i="1" a="1"/>
  <c r="F9" i="1" a="1"/>
  <c r="K8" i="1" a="1"/>
  <c r="G8" i="1" a="1"/>
  <c r="C8" i="1" a="1"/>
  <c r="H7" i="1" a="1"/>
  <c r="D7" i="1" a="1"/>
  <c r="I6" i="1" a="1"/>
  <c r="E6" i="1" a="1"/>
  <c r="I9" i="1" a="1"/>
  <c r="E9" i="1" a="1"/>
  <c r="J8" i="1" a="1"/>
  <c r="F8" i="1" a="1"/>
  <c r="K7" i="1" a="1"/>
  <c r="G7" i="1" a="1"/>
  <c r="C7" i="1" a="1"/>
  <c r="H6" i="1" a="1"/>
  <c r="D6" i="1" a="1"/>
  <c r="H9" i="1" a="1"/>
  <c r="D9" i="1" a="1"/>
  <c r="I8" i="1" a="1"/>
  <c r="E8" i="1" a="1"/>
  <c r="J7" i="1" a="1"/>
  <c r="F7" i="1" a="1"/>
  <c r="K6" i="1" a="1"/>
  <c r="G6" i="1" a="1"/>
  <c r="C6" i="1" a="1"/>
  <c r="K11" i="6" l="1"/>
  <c r="K3" i="6"/>
  <c r="K15" i="6"/>
  <c r="I2" i="6"/>
  <c r="K2" i="6" s="1"/>
  <c r="Q2" i="6"/>
  <c r="O3" i="6"/>
  <c r="I6" i="6"/>
  <c r="K6" i="6" s="1"/>
  <c r="Q6" i="6"/>
  <c r="O7" i="6"/>
  <c r="I10" i="6"/>
  <c r="K10" i="6" s="1"/>
  <c r="Q10" i="6"/>
  <c r="O11" i="6"/>
  <c r="I14" i="6"/>
  <c r="K14" i="6" s="1"/>
  <c r="Q14" i="6"/>
  <c r="O15" i="6"/>
  <c r="P3" i="6"/>
  <c r="P7" i="6"/>
  <c r="P11" i="6"/>
  <c r="P15" i="6"/>
  <c r="O4" i="6"/>
  <c r="O8" i="6"/>
  <c r="O12" i="6"/>
  <c r="O16" i="6"/>
  <c r="P4" i="6"/>
  <c r="P8" i="6"/>
  <c r="P12" i="6"/>
  <c r="P16" i="6"/>
  <c r="I4" i="6"/>
  <c r="K4" i="6" s="1"/>
  <c r="O5" i="6"/>
  <c r="I8" i="6"/>
  <c r="K8" i="6" s="1"/>
  <c r="O9" i="6"/>
  <c r="I12" i="6"/>
  <c r="K12" i="6" s="1"/>
  <c r="O13" i="6"/>
  <c r="I16" i="6"/>
  <c r="K16" i="6" s="1"/>
  <c r="O17" i="6"/>
  <c r="S11" i="5"/>
  <c r="Q67" i="5"/>
  <c r="P67" i="5"/>
  <c r="Q66" i="5"/>
  <c r="O67" i="5"/>
  <c r="P66" i="5"/>
  <c r="I13" i="5"/>
  <c r="K13" i="5" s="1"/>
  <c r="Q14" i="5"/>
  <c r="P15" i="5"/>
  <c r="P16" i="5"/>
  <c r="I21" i="5"/>
  <c r="K21" i="5" s="1"/>
  <c r="Q23" i="5"/>
  <c r="O24" i="5"/>
  <c r="P26" i="5"/>
  <c r="U28" i="5"/>
  <c r="S34" i="5"/>
  <c r="I39" i="5"/>
  <c r="K39" i="5" s="1"/>
  <c r="O41" i="5"/>
  <c r="Q41" i="5"/>
  <c r="K42" i="5"/>
  <c r="U42" i="5"/>
  <c r="J47" i="5"/>
  <c r="P48" i="5"/>
  <c r="O46" i="5"/>
  <c r="Q44" i="5"/>
  <c r="O44" i="5"/>
  <c r="W48" i="5"/>
  <c r="O55" i="5"/>
  <c r="S60" i="5"/>
  <c r="Q62" i="5"/>
  <c r="O2" i="5"/>
  <c r="I5" i="5"/>
  <c r="K5" i="5" s="1"/>
  <c r="Q5" i="5"/>
  <c r="O6" i="5"/>
  <c r="I9" i="5"/>
  <c r="K9" i="5" s="1"/>
  <c r="Q9" i="5"/>
  <c r="O10" i="5"/>
  <c r="Q15" i="5"/>
  <c r="O16" i="5"/>
  <c r="O17" i="5"/>
  <c r="Q24" i="5"/>
  <c r="Q25" i="5"/>
  <c r="W36" i="5"/>
  <c r="S38" i="5"/>
  <c r="P41" i="5"/>
  <c r="Q43" i="5"/>
  <c r="P43" i="5"/>
  <c r="Q42" i="5"/>
  <c r="O43" i="5"/>
  <c r="P42" i="5"/>
  <c r="U44" i="5"/>
  <c r="I46" i="5"/>
  <c r="K46" i="5" s="1"/>
  <c r="O48" i="5"/>
  <c r="P52" i="5"/>
  <c r="P55" i="5"/>
  <c r="O57" i="5"/>
  <c r="Q57" i="5"/>
  <c r="K58" i="5"/>
  <c r="P64" i="5"/>
  <c r="O62" i="5"/>
  <c r="Q60" i="5"/>
  <c r="O60" i="5"/>
  <c r="W64" i="5"/>
  <c r="S70" i="5"/>
  <c r="P2" i="5"/>
  <c r="P6" i="5"/>
  <c r="P10" i="5"/>
  <c r="I15" i="5"/>
  <c r="K15" i="5" s="1"/>
  <c r="Q16" i="5"/>
  <c r="P17" i="5"/>
  <c r="P18" i="5"/>
  <c r="U20" i="5"/>
  <c r="Q26" i="5"/>
  <c r="P27" i="5"/>
  <c r="P28" i="5"/>
  <c r="P25" i="5"/>
  <c r="P36" i="5"/>
  <c r="O35" i="5"/>
  <c r="Q34" i="5"/>
  <c r="O34" i="5"/>
  <c r="P33" i="5"/>
  <c r="W42" i="5"/>
  <c r="P45" i="5"/>
  <c r="Q48" i="5"/>
  <c r="J49" i="5"/>
  <c r="I49" i="5"/>
  <c r="K53" i="5"/>
  <c r="P54" i="5"/>
  <c r="P57" i="5"/>
  <c r="Q59" i="5"/>
  <c r="P59" i="5"/>
  <c r="Q58" i="5"/>
  <c r="O59" i="5"/>
  <c r="P58" i="5"/>
  <c r="I62" i="5"/>
  <c r="K62" i="5" s="1"/>
  <c r="S62" i="5"/>
  <c r="O64" i="5"/>
  <c r="U65" i="5"/>
  <c r="O66" i="5"/>
  <c r="P68" i="5"/>
  <c r="O3" i="5"/>
  <c r="Q6" i="5"/>
  <c r="O7" i="5"/>
  <c r="Q10" i="5"/>
  <c r="O11" i="5"/>
  <c r="Q17" i="5"/>
  <c r="O18" i="5"/>
  <c r="Q27" i="5"/>
  <c r="O28" i="5"/>
  <c r="O29" i="5"/>
  <c r="P30" i="5"/>
  <c r="O36" i="5"/>
  <c r="P40" i="5"/>
  <c r="O39" i="5"/>
  <c r="Q38" i="5"/>
  <c r="O38" i="5"/>
  <c r="Q37" i="5"/>
  <c r="P37" i="5"/>
  <c r="W40" i="5"/>
  <c r="Q45" i="5"/>
  <c r="Q47" i="5"/>
  <c r="K55" i="5"/>
  <c r="P61" i="5"/>
  <c r="Q64" i="5"/>
  <c r="J65" i="5"/>
  <c r="I65" i="5"/>
  <c r="K65" i="5" s="1"/>
  <c r="Q71" i="5"/>
  <c r="K47" i="5"/>
  <c r="P3" i="5"/>
  <c r="P7" i="5"/>
  <c r="Q18" i="5"/>
  <c r="P19" i="5"/>
  <c r="P20" i="5"/>
  <c r="Q28" i="5"/>
  <c r="Q29" i="5"/>
  <c r="O30" i="5"/>
  <c r="Q36" i="5"/>
  <c r="P56" i="5"/>
  <c r="O54" i="5"/>
  <c r="Q52" i="5"/>
  <c r="O52" i="5"/>
  <c r="Q61" i="5"/>
  <c r="Q63" i="5"/>
  <c r="Q3" i="5"/>
  <c r="Q7" i="5"/>
  <c r="Q11" i="5"/>
  <c r="Q19" i="5"/>
  <c r="O20" i="5"/>
  <c r="P22" i="5"/>
  <c r="Q30" i="5"/>
  <c r="P32" i="5"/>
  <c r="P29" i="5"/>
  <c r="Q35" i="5"/>
  <c r="Q40" i="5"/>
  <c r="J41" i="5"/>
  <c r="I41" i="5"/>
  <c r="O49" i="5"/>
  <c r="Q49" i="5"/>
  <c r="Q51" i="5"/>
  <c r="P51" i="5"/>
  <c r="Q50" i="5"/>
  <c r="O51" i="5"/>
  <c r="P50" i="5"/>
  <c r="O63" i="5"/>
  <c r="Q70" i="5"/>
  <c r="O71" i="5"/>
  <c r="P70" i="5"/>
  <c r="Q69" i="5"/>
  <c r="P24" i="5"/>
  <c r="P21" i="5"/>
  <c r="Q12" i="5"/>
  <c r="P13" i="5"/>
  <c r="P14" i="5"/>
  <c r="I19" i="5"/>
  <c r="K19" i="5" s="1"/>
  <c r="Q20" i="5"/>
  <c r="Q21" i="5"/>
  <c r="O22" i="5"/>
  <c r="O23" i="5"/>
  <c r="Q31" i="5"/>
  <c r="O32" i="5"/>
  <c r="O33" i="5"/>
  <c r="P34" i="5"/>
  <c r="Q39" i="5"/>
  <c r="K45" i="5"/>
  <c r="P46" i="5"/>
  <c r="P49" i="5"/>
  <c r="P53" i="5"/>
  <c r="Q56" i="5"/>
  <c r="J57" i="5"/>
  <c r="I57" i="5"/>
  <c r="P60" i="5"/>
  <c r="P63" i="5"/>
  <c r="O65" i="5"/>
  <c r="Q65" i="5"/>
  <c r="K66" i="5"/>
  <c r="O68" i="5"/>
  <c r="O45" i="5"/>
  <c r="I51" i="5"/>
  <c r="K51" i="5" s="1"/>
  <c r="O53" i="5"/>
  <c r="O61" i="5"/>
  <c r="Q68" i="5"/>
  <c r="P69" i="5"/>
  <c r="O70" i="5"/>
  <c r="I70" i="5"/>
  <c r="K70" i="5" s="1"/>
  <c r="P71" i="5"/>
  <c r="U203" i="5"/>
  <c r="U204" i="5"/>
  <c r="U211" i="5"/>
  <c r="U212" i="5"/>
  <c r="U219" i="5"/>
  <c r="U220" i="5"/>
  <c r="U227" i="5"/>
  <c r="U228" i="5"/>
  <c r="U235" i="5"/>
  <c r="U236" i="5"/>
  <c r="U243" i="5"/>
  <c r="U244" i="5"/>
  <c r="U251" i="5"/>
  <c r="U252" i="5"/>
  <c r="U259" i="5"/>
  <c r="U260" i="5"/>
  <c r="U267" i="5"/>
  <c r="U268" i="5"/>
  <c r="S202" i="5"/>
  <c r="S203" i="5"/>
  <c r="S210" i="5"/>
  <c r="S211" i="5"/>
  <c r="S218" i="5"/>
  <c r="S219" i="5"/>
  <c r="S226" i="5"/>
  <c r="S227" i="5"/>
  <c r="S234" i="5"/>
  <c r="S235" i="5"/>
  <c r="S242" i="5"/>
  <c r="S243" i="5"/>
  <c r="S250" i="5"/>
  <c r="S251" i="5"/>
  <c r="S258" i="5"/>
  <c r="S259" i="5"/>
  <c r="S266" i="5"/>
  <c r="S267" i="5"/>
  <c r="U207" i="5"/>
  <c r="U208" i="5"/>
  <c r="U215" i="5"/>
  <c r="U216" i="5"/>
  <c r="U223" i="5"/>
  <c r="U224" i="5"/>
  <c r="U231" i="5"/>
  <c r="U232" i="5"/>
  <c r="U239" i="5"/>
  <c r="U240" i="5"/>
  <c r="U247" i="5"/>
  <c r="U248" i="5"/>
  <c r="U255" i="5"/>
  <c r="U256" i="5"/>
  <c r="U263" i="5"/>
  <c r="U264" i="5"/>
  <c r="S206" i="5"/>
  <c r="S207" i="5"/>
  <c r="S214" i="5"/>
  <c r="S215" i="5"/>
  <c r="S222" i="5"/>
  <c r="S223" i="5"/>
  <c r="S230" i="5"/>
  <c r="S231" i="5"/>
  <c r="S238" i="5"/>
  <c r="S239" i="5"/>
  <c r="S246" i="5"/>
  <c r="S247" i="5"/>
  <c r="S254" i="5"/>
  <c r="S255" i="5"/>
  <c r="S262" i="5"/>
  <c r="S263" i="5"/>
  <c r="K18" i="4"/>
  <c r="K6" i="4"/>
  <c r="K10" i="4"/>
  <c r="K14" i="4"/>
  <c r="Q5" i="4"/>
  <c r="Q9" i="4"/>
  <c r="Q13" i="4"/>
  <c r="Q17" i="4"/>
  <c r="Q21" i="4"/>
  <c r="Q22" i="4"/>
  <c r="J23" i="4"/>
  <c r="I23" i="4"/>
  <c r="K23" i="4" s="1"/>
  <c r="Q40" i="4"/>
  <c r="O42" i="4"/>
  <c r="Q45" i="4"/>
  <c r="Q47" i="4"/>
  <c r="Q56" i="4"/>
  <c r="O58" i="4"/>
  <c r="Q26" i="4"/>
  <c r="Q38" i="4"/>
  <c r="O63" i="4"/>
  <c r="Q63" i="4"/>
  <c r="P63" i="4"/>
  <c r="Q66" i="4"/>
  <c r="P66" i="4"/>
  <c r="O66" i="4"/>
  <c r="W128" i="4"/>
  <c r="W129" i="4"/>
  <c r="S131" i="4"/>
  <c r="S130" i="4"/>
  <c r="P3" i="4"/>
  <c r="P7" i="4"/>
  <c r="P11" i="4"/>
  <c r="P15" i="4"/>
  <c r="P26" i="4"/>
  <c r="U27" i="4"/>
  <c r="Q29" i="4"/>
  <c r="Q53" i="4"/>
  <c r="Q55" i="4"/>
  <c r="K65" i="4"/>
  <c r="U69" i="4"/>
  <c r="U70" i="4"/>
  <c r="Q70" i="4"/>
  <c r="Q74" i="4"/>
  <c r="P73" i="4"/>
  <c r="P72" i="4"/>
  <c r="P71" i="4"/>
  <c r="P74" i="4"/>
  <c r="O73" i="4"/>
  <c r="O72" i="4"/>
  <c r="O74" i="4"/>
  <c r="J76" i="4"/>
  <c r="I76" i="4"/>
  <c r="K76" i="4" s="1"/>
  <c r="J27" i="4"/>
  <c r="I27" i="4"/>
  <c r="O41" i="4"/>
  <c r="Q43" i="4"/>
  <c r="P38" i="4"/>
  <c r="P34" i="4"/>
  <c r="P43" i="4"/>
  <c r="Q42" i="4"/>
  <c r="Q37" i="4"/>
  <c r="Q33" i="4"/>
  <c r="O43" i="4"/>
  <c r="P42" i="4"/>
  <c r="Q41" i="4"/>
  <c r="I3" i="4"/>
  <c r="K3" i="4" s="1"/>
  <c r="O4" i="4"/>
  <c r="I7" i="4"/>
  <c r="K7" i="4" s="1"/>
  <c r="O8" i="4"/>
  <c r="I11" i="4"/>
  <c r="K11" i="4" s="1"/>
  <c r="O12" i="4"/>
  <c r="I15" i="4"/>
  <c r="K15" i="4" s="1"/>
  <c r="O16" i="4"/>
  <c r="Q23" i="4"/>
  <c r="P24" i="4"/>
  <c r="O24" i="4"/>
  <c r="Y24" i="4"/>
  <c r="O25" i="4"/>
  <c r="Q34" i="4"/>
  <c r="Q39" i="4"/>
  <c r="Q44" i="4"/>
  <c r="Q46" i="4"/>
  <c r="Q60" i="4"/>
  <c r="P60" i="4"/>
  <c r="O60" i="4"/>
  <c r="Q61" i="4"/>
  <c r="P61" i="4"/>
  <c r="O61" i="4"/>
  <c r="O64" i="4"/>
  <c r="P68" i="4"/>
  <c r="W80" i="4"/>
  <c r="W81" i="4"/>
  <c r="J80" i="4"/>
  <c r="I80" i="4"/>
  <c r="P4" i="4"/>
  <c r="P8" i="4"/>
  <c r="P12" i="4"/>
  <c r="P16" i="4"/>
  <c r="W21" i="4"/>
  <c r="O23" i="4"/>
  <c r="Q24" i="4"/>
  <c r="P25" i="4"/>
  <c r="Q28" i="4"/>
  <c r="K29" i="4"/>
  <c r="Q30" i="4"/>
  <c r="K45" i="4"/>
  <c r="O49" i="4"/>
  <c r="Q51" i="4"/>
  <c r="P44" i="4"/>
  <c r="P51" i="4"/>
  <c r="Q50" i="4"/>
  <c r="O51" i="4"/>
  <c r="P50" i="4"/>
  <c r="Q49" i="4"/>
  <c r="J103" i="4"/>
  <c r="I103" i="4"/>
  <c r="J19" i="4"/>
  <c r="I19" i="4"/>
  <c r="J49" i="4"/>
  <c r="I49" i="4"/>
  <c r="K49" i="4" s="1"/>
  <c r="O57" i="4"/>
  <c r="O55" i="4"/>
  <c r="Q59" i="4"/>
  <c r="P52" i="4"/>
  <c r="P59" i="4"/>
  <c r="Q58" i="4"/>
  <c r="O59" i="4"/>
  <c r="P58" i="4"/>
  <c r="Q57" i="4"/>
  <c r="Q67" i="4"/>
  <c r="P67" i="4"/>
  <c r="O67" i="4"/>
  <c r="J88" i="4"/>
  <c r="I88" i="4"/>
  <c r="I4" i="4"/>
  <c r="K4" i="4" s="1"/>
  <c r="O5" i="4"/>
  <c r="I8" i="4"/>
  <c r="K8" i="4" s="1"/>
  <c r="O9" i="4"/>
  <c r="I12" i="4"/>
  <c r="K12" i="4" s="1"/>
  <c r="O13" i="4"/>
  <c r="Q19" i="4"/>
  <c r="P20" i="4"/>
  <c r="O20" i="4"/>
  <c r="O21" i="4"/>
  <c r="O22" i="4"/>
  <c r="P23" i="4"/>
  <c r="I25" i="4"/>
  <c r="K25" i="4" s="1"/>
  <c r="Q25" i="4"/>
  <c r="Q27" i="4"/>
  <c r="O27" i="4"/>
  <c r="Q32" i="4"/>
  <c r="J41" i="4"/>
  <c r="I41" i="4"/>
  <c r="S46" i="4"/>
  <c r="J57" i="4"/>
  <c r="I57" i="4"/>
  <c r="K63" i="4"/>
  <c r="Q65" i="4"/>
  <c r="P65" i="4"/>
  <c r="Q64" i="4"/>
  <c r="O65" i="4"/>
  <c r="P64" i="4"/>
  <c r="K66" i="4"/>
  <c r="W73" i="4"/>
  <c r="W72" i="4"/>
  <c r="U84" i="4"/>
  <c r="U83" i="4"/>
  <c r="P41" i="4"/>
  <c r="O19" i="4"/>
  <c r="Q20" i="4"/>
  <c r="P21" i="4"/>
  <c r="S25" i="4"/>
  <c r="P27" i="4"/>
  <c r="S28" i="4"/>
  <c r="Q35" i="4"/>
  <c r="P40" i="4"/>
  <c r="K43" i="4"/>
  <c r="W50" i="4"/>
  <c r="Q52" i="4"/>
  <c r="Q54" i="4"/>
  <c r="P56" i="4"/>
  <c r="K59" i="4"/>
  <c r="P62" i="4"/>
  <c r="Q62" i="4"/>
  <c r="O62" i="4"/>
  <c r="K71" i="4"/>
  <c r="U91" i="4"/>
  <c r="P29" i="4"/>
  <c r="P33" i="4"/>
  <c r="P37" i="4"/>
  <c r="Q83" i="4"/>
  <c r="K86" i="4"/>
  <c r="K91" i="4"/>
  <c r="P110" i="4"/>
  <c r="P109" i="4"/>
  <c r="Q110" i="4"/>
  <c r="O109" i="4"/>
  <c r="O110" i="4"/>
  <c r="Q102" i="4"/>
  <c r="P101" i="4"/>
  <c r="I128" i="4"/>
  <c r="J128" i="4"/>
  <c r="I138" i="4"/>
  <c r="K138" i="4" s="1"/>
  <c r="J138" i="4"/>
  <c r="O140" i="4"/>
  <c r="P135" i="4"/>
  <c r="Q139" i="4"/>
  <c r="O139" i="4"/>
  <c r="P136" i="4"/>
  <c r="Q140" i="4"/>
  <c r="O136" i="4"/>
  <c r="P133" i="4"/>
  <c r="P140" i="4"/>
  <c r="Q137" i="4"/>
  <c r="Q134" i="4"/>
  <c r="U31" i="4"/>
  <c r="Y33" i="4"/>
  <c r="W34" i="4"/>
  <c r="U35" i="4"/>
  <c r="Y37" i="4"/>
  <c r="W38" i="4"/>
  <c r="U39" i="4"/>
  <c r="J68" i="4"/>
  <c r="I68" i="4"/>
  <c r="O71" i="4"/>
  <c r="P78" i="4"/>
  <c r="O78" i="4"/>
  <c r="Q90" i="4"/>
  <c r="P90" i="4"/>
  <c r="O90" i="4"/>
  <c r="S140" i="4"/>
  <c r="S141" i="4"/>
  <c r="Q77" i="4"/>
  <c r="P77" i="4"/>
  <c r="J82" i="4"/>
  <c r="I82" i="4"/>
  <c r="J148" i="4"/>
  <c r="I148" i="4"/>
  <c r="I30" i="4"/>
  <c r="K30" i="4" s="1"/>
  <c r="O31" i="4"/>
  <c r="I34" i="4"/>
  <c r="K34" i="4" s="1"/>
  <c r="O35" i="4"/>
  <c r="I38" i="4"/>
  <c r="K38" i="4" s="1"/>
  <c r="O39" i="4"/>
  <c r="I44" i="4"/>
  <c r="K44" i="4" s="1"/>
  <c r="P45" i="4"/>
  <c r="O46" i="4"/>
  <c r="I52" i="4"/>
  <c r="K52" i="4" s="1"/>
  <c r="P53" i="4"/>
  <c r="O54" i="4"/>
  <c r="I60" i="4"/>
  <c r="K60" i="4" s="1"/>
  <c r="J61" i="4"/>
  <c r="K61" i="4" s="1"/>
  <c r="S61" i="4"/>
  <c r="I67" i="4"/>
  <c r="K67" i="4" s="1"/>
  <c r="P70" i="4"/>
  <c r="O70" i="4"/>
  <c r="Q71" i="4"/>
  <c r="I72" i="4"/>
  <c r="K72" i="4" s="1"/>
  <c r="Q72" i="4"/>
  <c r="I73" i="4"/>
  <c r="K73" i="4" s="1"/>
  <c r="I74" i="4"/>
  <c r="K74" i="4" s="1"/>
  <c r="U75" i="4"/>
  <c r="Q76" i="4"/>
  <c r="O77" i="4"/>
  <c r="Q81" i="4"/>
  <c r="I87" i="4"/>
  <c r="K87" i="4" s="1"/>
  <c r="O88" i="4"/>
  <c r="K89" i="4"/>
  <c r="P94" i="4"/>
  <c r="Q94" i="4"/>
  <c r="P93" i="4"/>
  <c r="O92" i="4"/>
  <c r="O91" i="4"/>
  <c r="O94" i="4"/>
  <c r="O93" i="4"/>
  <c r="J96" i="4"/>
  <c r="I96" i="4"/>
  <c r="K96" i="4" s="1"/>
  <c r="O100" i="4"/>
  <c r="Q100" i="4"/>
  <c r="P100" i="4"/>
  <c r="Q103" i="4"/>
  <c r="Q107" i="4"/>
  <c r="P31" i="4"/>
  <c r="P35" i="4"/>
  <c r="P39" i="4"/>
  <c r="P46" i="4"/>
  <c r="O47" i="4"/>
  <c r="P54" i="4"/>
  <c r="Q69" i="4"/>
  <c r="P69" i="4"/>
  <c r="O76" i="4"/>
  <c r="Q84" i="4"/>
  <c r="P84" i="4"/>
  <c r="O84" i="4"/>
  <c r="P113" i="4"/>
  <c r="Q112" i="4"/>
  <c r="P112" i="4"/>
  <c r="O112" i="4"/>
  <c r="Q113" i="4"/>
  <c r="O113" i="4"/>
  <c r="Q130" i="4"/>
  <c r="O130" i="4"/>
  <c r="O129" i="4"/>
  <c r="O126" i="4"/>
  <c r="Q123" i="4"/>
  <c r="P130" i="4"/>
  <c r="Q127" i="4"/>
  <c r="U142" i="4"/>
  <c r="U141" i="4"/>
  <c r="W146" i="4"/>
  <c r="W145" i="4"/>
  <c r="O28" i="4"/>
  <c r="I31" i="4"/>
  <c r="K31" i="4" s="1"/>
  <c r="O32" i="4"/>
  <c r="I35" i="4"/>
  <c r="K35" i="4" s="1"/>
  <c r="O36" i="4"/>
  <c r="I39" i="4"/>
  <c r="K39" i="4" s="1"/>
  <c r="O40" i="4"/>
  <c r="I46" i="4"/>
  <c r="K46" i="4" s="1"/>
  <c r="P47" i="4"/>
  <c r="O48" i="4"/>
  <c r="I54" i="4"/>
  <c r="K54" i="4" s="1"/>
  <c r="P55" i="4"/>
  <c r="O56" i="4"/>
  <c r="U61" i="4"/>
  <c r="U67" i="4"/>
  <c r="Q68" i="4"/>
  <c r="O69" i="4"/>
  <c r="S71" i="4"/>
  <c r="P76" i="4"/>
  <c r="O80" i="4"/>
  <c r="Q82" i="4"/>
  <c r="O82" i="4"/>
  <c r="K83" i="4"/>
  <c r="Q86" i="4"/>
  <c r="Q92" i="4"/>
  <c r="O95" i="4"/>
  <c r="Q95" i="4"/>
  <c r="J111" i="4"/>
  <c r="I111" i="4"/>
  <c r="S113" i="4"/>
  <c r="S114" i="4"/>
  <c r="U127" i="4"/>
  <c r="U128" i="4"/>
  <c r="I141" i="4"/>
  <c r="J141" i="4"/>
  <c r="O68" i="4"/>
  <c r="O79" i="4"/>
  <c r="P80" i="4"/>
  <c r="P82" i="4"/>
  <c r="W83" i="4"/>
  <c r="O87" i="4"/>
  <c r="O85" i="4"/>
  <c r="Q89" i="4"/>
  <c r="P89" i="4"/>
  <c r="Q88" i="4"/>
  <c r="P95" i="4"/>
  <c r="I97" i="4"/>
  <c r="K97" i="4" s="1"/>
  <c r="Q106" i="4"/>
  <c r="O106" i="4"/>
  <c r="Q109" i="4"/>
  <c r="U200" i="4"/>
  <c r="U199" i="4"/>
  <c r="S103" i="4"/>
  <c r="U104" i="4"/>
  <c r="W105" i="4"/>
  <c r="P106" i="4"/>
  <c r="K107" i="4"/>
  <c r="J114" i="4"/>
  <c r="K114" i="4" s="1"/>
  <c r="P116" i="4"/>
  <c r="J117" i="4"/>
  <c r="K117" i="4" s="1"/>
  <c r="S117" i="4"/>
  <c r="O119" i="4"/>
  <c r="I124" i="4"/>
  <c r="K124" i="4" s="1"/>
  <c r="P126" i="4"/>
  <c r="Q125" i="4"/>
  <c r="P129" i="4"/>
  <c r="Q128" i="4"/>
  <c r="U131" i="4"/>
  <c r="P139" i="4"/>
  <c r="W142" i="4"/>
  <c r="P143" i="4"/>
  <c r="K144" i="4"/>
  <c r="Q146" i="4"/>
  <c r="O146" i="4"/>
  <c r="I151" i="4"/>
  <c r="K151" i="4" s="1"/>
  <c r="W152" i="4"/>
  <c r="W153" i="4"/>
  <c r="W198" i="4"/>
  <c r="W197" i="4"/>
  <c r="P99" i="4"/>
  <c r="P105" i="4"/>
  <c r="U107" i="4"/>
  <c r="P115" i="4"/>
  <c r="Q116" i="4"/>
  <c r="W118" i="4"/>
  <c r="K120" i="4"/>
  <c r="Q122" i="4"/>
  <c r="O122" i="4"/>
  <c r="Q143" i="4"/>
  <c r="K153" i="4"/>
  <c r="P83" i="4"/>
  <c r="I90" i="4"/>
  <c r="K90" i="4" s="1"/>
  <c r="P91" i="4"/>
  <c r="P92" i="4"/>
  <c r="S95" i="4"/>
  <c r="U96" i="4"/>
  <c r="Q98" i="4"/>
  <c r="W98" i="4"/>
  <c r="O99" i="4"/>
  <c r="O105" i="4"/>
  <c r="S106" i="4"/>
  <c r="O108" i="4"/>
  <c r="O115" i="4"/>
  <c r="U117" i="4"/>
  <c r="Q119" i="4"/>
  <c r="J120" i="4"/>
  <c r="W121" i="4"/>
  <c r="P122" i="4"/>
  <c r="O125" i="4"/>
  <c r="Q126" i="4"/>
  <c r="Q129" i="4"/>
  <c r="J130" i="4"/>
  <c r="K130" i="4" s="1"/>
  <c r="W131" i="4"/>
  <c r="P132" i="4"/>
  <c r="J133" i="4"/>
  <c r="K133" i="4" s="1"/>
  <c r="S133" i="4"/>
  <c r="I140" i="4"/>
  <c r="K140" i="4" s="1"/>
  <c r="P142" i="4"/>
  <c r="P145" i="4"/>
  <c r="Q144" i="4"/>
  <c r="U147" i="4"/>
  <c r="J154" i="4"/>
  <c r="I154" i="4"/>
  <c r="K154" i="4" s="1"/>
  <c r="O98" i="4"/>
  <c r="Q99" i="4"/>
  <c r="O104" i="4"/>
  <c r="Q105" i="4"/>
  <c r="W107" i="4"/>
  <c r="P108" i="4"/>
  <c r="J109" i="4"/>
  <c r="K109" i="4" s="1"/>
  <c r="O111" i="4"/>
  <c r="Q115" i="4"/>
  <c r="P118" i="4"/>
  <c r="P121" i="4"/>
  <c r="Q120" i="4"/>
  <c r="P125" i="4"/>
  <c r="O128" i="4"/>
  <c r="P131" i="4"/>
  <c r="Q132" i="4"/>
  <c r="Q138" i="4"/>
  <c r="O138" i="4"/>
  <c r="Q141" i="4"/>
  <c r="O142" i="4"/>
  <c r="S143" i="4"/>
  <c r="O145" i="4"/>
  <c r="S155" i="4"/>
  <c r="S154" i="4"/>
  <c r="P184" i="4"/>
  <c r="Q190" i="4"/>
  <c r="P190" i="4"/>
  <c r="O190" i="4"/>
  <c r="O188" i="4"/>
  <c r="P187" i="4"/>
  <c r="Q186" i="4"/>
  <c r="P186" i="4"/>
  <c r="Q185" i="4"/>
  <c r="Q187" i="4"/>
  <c r="O189" i="4"/>
  <c r="P188" i="4"/>
  <c r="Q155" i="4"/>
  <c r="I84" i="4"/>
  <c r="K84" i="4" s="1"/>
  <c r="P85" i="4"/>
  <c r="O86" i="4"/>
  <c r="I92" i="4"/>
  <c r="K92" i="4" s="1"/>
  <c r="O97" i="4"/>
  <c r="P98" i="4"/>
  <c r="W102" i="4"/>
  <c r="O103" i="4"/>
  <c r="P104" i="4"/>
  <c r="P107" i="4"/>
  <c r="Q108" i="4"/>
  <c r="P111" i="4"/>
  <c r="K112" i="4"/>
  <c r="Q114" i="4"/>
  <c r="O114" i="4"/>
  <c r="Q117" i="4"/>
  <c r="O118" i="4"/>
  <c r="I119" i="4"/>
  <c r="K119" i="4" s="1"/>
  <c r="S119" i="4"/>
  <c r="O121" i="4"/>
  <c r="O124" i="4"/>
  <c r="P128" i="4"/>
  <c r="O131" i="4"/>
  <c r="U133" i="4"/>
  <c r="Q135" i="4"/>
  <c r="J136" i="4"/>
  <c r="K136" i="4" s="1"/>
  <c r="P138" i="4"/>
  <c r="O141" i="4"/>
  <c r="Q142" i="4"/>
  <c r="Q145" i="4"/>
  <c r="J146" i="4"/>
  <c r="K146" i="4" s="1"/>
  <c r="W147" i="4"/>
  <c r="P148" i="4"/>
  <c r="J149" i="4"/>
  <c r="K149" i="4" s="1"/>
  <c r="O96" i="4"/>
  <c r="K99" i="4"/>
  <c r="Q101" i="4"/>
  <c r="P102" i="4"/>
  <c r="P103" i="4"/>
  <c r="Q104" i="4"/>
  <c r="O107" i="4"/>
  <c r="U109" i="4"/>
  <c r="Q111" i="4"/>
  <c r="J112" i="4"/>
  <c r="P114" i="4"/>
  <c r="K115" i="4"/>
  <c r="O117" i="4"/>
  <c r="Q118" i="4"/>
  <c r="Q121" i="4"/>
  <c r="J122" i="4"/>
  <c r="K122" i="4" s="1"/>
  <c r="W123" i="4"/>
  <c r="P124" i="4"/>
  <c r="J125" i="4"/>
  <c r="K125" i="4" s="1"/>
  <c r="O127" i="4"/>
  <c r="Q131" i="4"/>
  <c r="I132" i="4"/>
  <c r="K132" i="4" s="1"/>
  <c r="P134" i="4"/>
  <c r="P137" i="4"/>
  <c r="Q136" i="4"/>
  <c r="P141" i="4"/>
  <c r="O144" i="4"/>
  <c r="P147" i="4"/>
  <c r="Q148" i="4"/>
  <c r="W150" i="4"/>
  <c r="P151" i="4"/>
  <c r="J152" i="4"/>
  <c r="I152" i="4"/>
  <c r="W158" i="4"/>
  <c r="W157" i="4"/>
  <c r="Q179" i="4"/>
  <c r="O154" i="4"/>
  <c r="J156" i="4"/>
  <c r="I156" i="4"/>
  <c r="Q160" i="4"/>
  <c r="S161" i="4"/>
  <c r="K163" i="4"/>
  <c r="Q165" i="4"/>
  <c r="Q172" i="4"/>
  <c r="O178" i="4"/>
  <c r="Q181" i="4"/>
  <c r="Q183" i="4"/>
  <c r="K186" i="4"/>
  <c r="Q188" i="4"/>
  <c r="J196" i="4"/>
  <c r="I196" i="4"/>
  <c r="K196" i="4" s="1"/>
  <c r="S257" i="4"/>
  <c r="P168" i="4"/>
  <c r="Q167" i="4"/>
  <c r="Q174" i="4"/>
  <c r="P174" i="4"/>
  <c r="O174" i="4"/>
  <c r="O172" i="4"/>
  <c r="P171" i="4"/>
  <c r="Q170" i="4"/>
  <c r="O171" i="4"/>
  <c r="P170" i="4"/>
  <c r="Q169" i="4"/>
  <c r="U214" i="4"/>
  <c r="U222" i="4"/>
  <c r="U250" i="4"/>
  <c r="U266" i="4"/>
  <c r="Q168" i="4"/>
  <c r="J180" i="4"/>
  <c r="I180" i="4"/>
  <c r="Q189" i="4"/>
  <c r="P192" i="4"/>
  <c r="Q198" i="4"/>
  <c r="P198" i="4"/>
  <c r="O198" i="4"/>
  <c r="O196" i="4"/>
  <c r="P195" i="4"/>
  <c r="Q194" i="4"/>
  <c r="Q193" i="4"/>
  <c r="S245" i="4"/>
  <c r="Q152" i="4"/>
  <c r="Q153" i="4"/>
  <c r="Q156" i="4"/>
  <c r="J164" i="4"/>
  <c r="I164" i="4"/>
  <c r="K164" i="4" s="1"/>
  <c r="U167" i="4"/>
  <c r="O170" i="4"/>
  <c r="Q173" i="4"/>
  <c r="Q175" i="4"/>
  <c r="P177" i="4"/>
  <c r="Q184" i="4"/>
  <c r="Q191" i="4"/>
  <c r="K194" i="4"/>
  <c r="Q196" i="4"/>
  <c r="S205" i="4"/>
  <c r="S213" i="4"/>
  <c r="S221" i="4"/>
  <c r="U254" i="4"/>
  <c r="Q158" i="4"/>
  <c r="P158" i="4"/>
  <c r="O158" i="4"/>
  <c r="O173" i="4"/>
  <c r="O186" i="4"/>
  <c r="P196" i="4"/>
  <c r="P156" i="4"/>
  <c r="P159" i="4"/>
  <c r="P161" i="4"/>
  <c r="K162" i="4"/>
  <c r="J172" i="4"/>
  <c r="I172" i="4"/>
  <c r="Q180" i="4"/>
  <c r="J188" i="4"/>
  <c r="I188" i="4"/>
  <c r="K195" i="4"/>
  <c r="S201" i="4"/>
  <c r="U202" i="4"/>
  <c r="U210" i="4"/>
  <c r="U218" i="4"/>
  <c r="U226" i="4"/>
  <c r="U242" i="4"/>
  <c r="W155" i="4"/>
  <c r="Q157" i="4"/>
  <c r="Q164" i="4"/>
  <c r="P160" i="4"/>
  <c r="Q159" i="4"/>
  <c r="Q166" i="4"/>
  <c r="P166" i="4"/>
  <c r="O166" i="4"/>
  <c r="P163" i="4"/>
  <c r="Q162" i="4"/>
  <c r="O163" i="4"/>
  <c r="P162" i="4"/>
  <c r="Q161" i="4"/>
  <c r="P169" i="4"/>
  <c r="Q171" i="4"/>
  <c r="Q176" i="4"/>
  <c r="S177" i="4"/>
  <c r="P176" i="4"/>
  <c r="Q182" i="4"/>
  <c r="P182" i="4"/>
  <c r="O182" i="4"/>
  <c r="O180" i="4"/>
  <c r="P179" i="4"/>
  <c r="Q178" i="4"/>
  <c r="O179" i="4"/>
  <c r="P178" i="4"/>
  <c r="Q177" i="4"/>
  <c r="Q192" i="4"/>
  <c r="Q197" i="4"/>
  <c r="O187" i="4"/>
  <c r="P194" i="4"/>
  <c r="O195" i="4"/>
  <c r="O164" i="4"/>
  <c r="P157" i="4"/>
  <c r="P165" i="4"/>
  <c r="P173" i="4"/>
  <c r="P181" i="4"/>
  <c r="P189" i="4"/>
  <c r="P197" i="4"/>
  <c r="I157" i="4"/>
  <c r="K157" i="4" s="1"/>
  <c r="O159" i="4"/>
  <c r="I165" i="4"/>
  <c r="K165" i="4" s="1"/>
  <c r="O167" i="4"/>
  <c r="I173" i="4"/>
  <c r="K173" i="4" s="1"/>
  <c r="O175" i="4"/>
  <c r="I181" i="4"/>
  <c r="K181" i="4" s="1"/>
  <c r="O183" i="4"/>
  <c r="I189" i="4"/>
  <c r="K189" i="4" s="1"/>
  <c r="O191" i="4"/>
  <c r="I197" i="4"/>
  <c r="K197" i="4" s="1"/>
  <c r="O199" i="4"/>
  <c r="O168" i="4"/>
  <c r="P175" i="4"/>
  <c r="O176" i="4"/>
  <c r="P183" i="4"/>
  <c r="O184" i="4"/>
  <c r="P191" i="4"/>
  <c r="O192" i="4"/>
  <c r="I198" i="4"/>
  <c r="K198" i="4" s="1"/>
  <c r="P199" i="4"/>
  <c r="O200" i="4"/>
  <c r="S229" i="4"/>
  <c r="U230" i="4"/>
  <c r="S233" i="4"/>
  <c r="U234" i="4"/>
  <c r="S237" i="4"/>
  <c r="U238" i="4"/>
  <c r="S241" i="4"/>
  <c r="U258" i="4"/>
  <c r="S261" i="4"/>
  <c r="P200" i="4"/>
  <c r="P193" i="4"/>
  <c r="P14" i="3"/>
  <c r="P18" i="3"/>
  <c r="P22" i="3"/>
  <c r="O25" i="3"/>
  <c r="K27" i="3"/>
  <c r="O29" i="3"/>
  <c r="J31" i="3"/>
  <c r="I31" i="3"/>
  <c r="K31" i="3" s="1"/>
  <c r="J33" i="3"/>
  <c r="Y33" i="3"/>
  <c r="U34" i="3"/>
  <c r="S35" i="3"/>
  <c r="Q36" i="3"/>
  <c r="P36" i="3"/>
  <c r="O36" i="3"/>
  <c r="J38" i="3"/>
  <c r="K38" i="3" s="1"/>
  <c r="S39" i="3"/>
  <c r="S40" i="3"/>
  <c r="K45" i="3"/>
  <c r="K53" i="3"/>
  <c r="U53" i="3"/>
  <c r="P57" i="3"/>
  <c r="K73" i="3"/>
  <c r="K81" i="3"/>
  <c r="W85" i="3"/>
  <c r="W84" i="3"/>
  <c r="O154" i="3"/>
  <c r="O152" i="3"/>
  <c r="P151" i="3"/>
  <c r="Q150" i="3"/>
  <c r="Q156" i="3"/>
  <c r="P156" i="3"/>
  <c r="Q154" i="3"/>
  <c r="P154" i="3"/>
  <c r="P155" i="3"/>
  <c r="Q153" i="3"/>
  <c r="O155" i="3"/>
  <c r="O156" i="3"/>
  <c r="Q146" i="3"/>
  <c r="I2" i="3"/>
  <c r="K2" i="3" s="1"/>
  <c r="Q2" i="3"/>
  <c r="O3" i="3"/>
  <c r="I6" i="3"/>
  <c r="K6" i="3" s="1"/>
  <c r="Q6" i="3"/>
  <c r="O7" i="3"/>
  <c r="I10" i="3"/>
  <c r="K10" i="3" s="1"/>
  <c r="Q10" i="3"/>
  <c r="O11" i="3"/>
  <c r="W11" i="3"/>
  <c r="U12" i="3"/>
  <c r="S13" i="3"/>
  <c r="Y14" i="3"/>
  <c r="O15" i="3"/>
  <c r="W15" i="3"/>
  <c r="Y18" i="3"/>
  <c r="Y24" i="3"/>
  <c r="Y28" i="3"/>
  <c r="Q32" i="3"/>
  <c r="P32" i="3"/>
  <c r="O32" i="3"/>
  <c r="J39" i="3"/>
  <c r="I39" i="3"/>
  <c r="K39" i="3" s="1"/>
  <c r="J42" i="3"/>
  <c r="I42" i="3"/>
  <c r="K42" i="3" s="1"/>
  <c r="J50" i="3"/>
  <c r="I50" i="3"/>
  <c r="J58" i="3"/>
  <c r="I58" i="3"/>
  <c r="K58" i="3" s="1"/>
  <c r="J66" i="3"/>
  <c r="I66" i="3"/>
  <c r="K66" i="3" s="1"/>
  <c r="P62" i="3"/>
  <c r="Q61" i="3"/>
  <c r="Q68" i="3"/>
  <c r="P68" i="3"/>
  <c r="Q67" i="3"/>
  <c r="O68" i="3"/>
  <c r="P67" i="3"/>
  <c r="Q66" i="3"/>
  <c r="J107" i="3"/>
  <c r="I107" i="3"/>
  <c r="K107" i="3" s="1"/>
  <c r="K33" i="3"/>
  <c r="S176" i="3"/>
  <c r="S175" i="3"/>
  <c r="P3" i="3"/>
  <c r="P7" i="3"/>
  <c r="P23" i="3"/>
  <c r="P24" i="3"/>
  <c r="I26" i="3"/>
  <c r="K26" i="3" s="1"/>
  <c r="S26" i="3"/>
  <c r="Q28" i="3"/>
  <c r="O28" i="3"/>
  <c r="I30" i="3"/>
  <c r="K30" i="3" s="1"/>
  <c r="O42" i="3"/>
  <c r="P41" i="3"/>
  <c r="Q44" i="3"/>
  <c r="P44" i="3"/>
  <c r="Q43" i="3"/>
  <c r="O44" i="3"/>
  <c r="P43" i="3"/>
  <c r="Q42" i="3"/>
  <c r="P49" i="3"/>
  <c r="O49" i="3"/>
  <c r="Q52" i="3"/>
  <c r="P52" i="3"/>
  <c r="Q51" i="3"/>
  <c r="O52" i="3"/>
  <c r="P51" i="3"/>
  <c r="Q50" i="3"/>
  <c r="K56" i="3"/>
  <c r="Q65" i="3"/>
  <c r="J76" i="3"/>
  <c r="I76" i="3"/>
  <c r="K76" i="3" s="1"/>
  <c r="Q133" i="3"/>
  <c r="O133" i="3"/>
  <c r="P130" i="3"/>
  <c r="P131" i="3"/>
  <c r="P133" i="3"/>
  <c r="Q106" i="3"/>
  <c r="I3" i="3"/>
  <c r="K3" i="3" s="1"/>
  <c r="O4" i="3"/>
  <c r="I7" i="3"/>
  <c r="K7" i="3" s="1"/>
  <c r="O8" i="3"/>
  <c r="I11" i="3"/>
  <c r="K11" i="3" s="1"/>
  <c r="O12" i="3"/>
  <c r="I15" i="3"/>
  <c r="K15" i="3" s="1"/>
  <c r="O16" i="3"/>
  <c r="I19" i="3"/>
  <c r="K19" i="3" s="1"/>
  <c r="O20" i="3"/>
  <c r="I23" i="3"/>
  <c r="K23" i="3" s="1"/>
  <c r="Q23" i="3"/>
  <c r="Q24" i="3"/>
  <c r="I25" i="3"/>
  <c r="K25" i="3" s="1"/>
  <c r="P28" i="3"/>
  <c r="I29" i="3"/>
  <c r="K29" i="3" s="1"/>
  <c r="U30" i="3"/>
  <c r="Q31" i="3"/>
  <c r="J35" i="3"/>
  <c r="I35" i="3"/>
  <c r="Q38" i="3"/>
  <c r="O38" i="3"/>
  <c r="Q37" i="3"/>
  <c r="K51" i="3"/>
  <c r="O57" i="3"/>
  <c r="Q53" i="3"/>
  <c r="Q60" i="3"/>
  <c r="P60" i="3"/>
  <c r="Q59" i="3"/>
  <c r="O60" i="3"/>
  <c r="P59" i="3"/>
  <c r="Q58" i="3"/>
  <c r="W164" i="3"/>
  <c r="W163" i="3"/>
  <c r="P4" i="3"/>
  <c r="P8" i="3"/>
  <c r="P12" i="3"/>
  <c r="P16" i="3"/>
  <c r="P20" i="3"/>
  <c r="I24" i="3"/>
  <c r="K24" i="3" s="1"/>
  <c r="Q27" i="3"/>
  <c r="Y27" i="3"/>
  <c r="O31" i="3"/>
  <c r="P33" i="3"/>
  <c r="P38" i="3"/>
  <c r="Q39" i="3"/>
  <c r="O39" i="3"/>
  <c r="K43" i="3"/>
  <c r="S47" i="3"/>
  <c r="O50" i="3"/>
  <c r="S55" i="3"/>
  <c r="O58" i="3"/>
  <c r="O66" i="3"/>
  <c r="O90" i="3"/>
  <c r="P89" i="3"/>
  <c r="Q88" i="3"/>
  <c r="Q93" i="3"/>
  <c r="P93" i="3"/>
  <c r="O93" i="3"/>
  <c r="P92" i="3"/>
  <c r="O92" i="3"/>
  <c r="P91" i="3"/>
  <c r="Q69" i="3"/>
  <c r="Q90" i="3"/>
  <c r="I4" i="3"/>
  <c r="K4" i="3" s="1"/>
  <c r="O5" i="3"/>
  <c r="I8" i="3"/>
  <c r="K8" i="3" s="1"/>
  <c r="O9" i="3"/>
  <c r="I12" i="3"/>
  <c r="K12" i="3" s="1"/>
  <c r="O13" i="3"/>
  <c r="I16" i="3"/>
  <c r="K16" i="3" s="1"/>
  <c r="O17" i="3"/>
  <c r="I20" i="3"/>
  <c r="K20" i="3" s="1"/>
  <c r="O21" i="3"/>
  <c r="U25" i="3"/>
  <c r="O27" i="3"/>
  <c r="P31" i="3"/>
  <c r="S33" i="3"/>
  <c r="Q34" i="3"/>
  <c r="O34" i="3"/>
  <c r="Q33" i="3"/>
  <c r="K37" i="3"/>
  <c r="W37" i="3"/>
  <c r="P39" i="3"/>
  <c r="P42" i="3"/>
  <c r="P50" i="3"/>
  <c r="P58" i="3"/>
  <c r="S63" i="3"/>
  <c r="P66" i="3"/>
  <c r="Q70" i="3"/>
  <c r="W25" i="3"/>
  <c r="P27" i="3"/>
  <c r="J28" i="3"/>
  <c r="K28" i="3" s="1"/>
  <c r="W29" i="3"/>
  <c r="S31" i="3"/>
  <c r="Y32" i="3"/>
  <c r="P34" i="3"/>
  <c r="Q35" i="3"/>
  <c r="O35" i="3"/>
  <c r="J37" i="3"/>
  <c r="Y37" i="3"/>
  <c r="U38" i="3"/>
  <c r="Q46" i="3"/>
  <c r="Q48" i="3"/>
  <c r="Q56" i="3"/>
  <c r="U69" i="3"/>
  <c r="Q71" i="3"/>
  <c r="Q76" i="3"/>
  <c r="J91" i="3"/>
  <c r="I91" i="3"/>
  <c r="Q79" i="3"/>
  <c r="P79" i="3"/>
  <c r="O79" i="3"/>
  <c r="Q84" i="3"/>
  <c r="U86" i="3"/>
  <c r="Q87" i="3"/>
  <c r="Q94" i="3"/>
  <c r="K101" i="3"/>
  <c r="O106" i="3"/>
  <c r="P105" i="3"/>
  <c r="Q104" i="3"/>
  <c r="Q109" i="3"/>
  <c r="P109" i="3"/>
  <c r="O109" i="3"/>
  <c r="P108" i="3"/>
  <c r="Q110" i="3"/>
  <c r="S112" i="3"/>
  <c r="O113" i="3"/>
  <c r="W124" i="3"/>
  <c r="Q126" i="3"/>
  <c r="W149" i="3"/>
  <c r="W148" i="3"/>
  <c r="Q78" i="3"/>
  <c r="J115" i="3"/>
  <c r="I115" i="3"/>
  <c r="K115" i="3" s="1"/>
  <c r="Q113" i="3"/>
  <c r="O114" i="3"/>
  <c r="P113" i="3"/>
  <c r="Q112" i="3"/>
  <c r="Q117" i="3"/>
  <c r="P117" i="3"/>
  <c r="O117" i="3"/>
  <c r="P116" i="3"/>
  <c r="S126" i="3"/>
  <c r="S127" i="3"/>
  <c r="P147" i="3"/>
  <c r="W172" i="3"/>
  <c r="W171" i="3"/>
  <c r="I44" i="3"/>
  <c r="K44" i="3" s="1"/>
  <c r="P45" i="3"/>
  <c r="O46" i="3"/>
  <c r="I52" i="3"/>
  <c r="K52" i="3" s="1"/>
  <c r="P53" i="3"/>
  <c r="O54" i="3"/>
  <c r="P61" i="3"/>
  <c r="O62" i="3"/>
  <c r="I68" i="3"/>
  <c r="K68" i="3" s="1"/>
  <c r="P69" i="3"/>
  <c r="O70" i="3"/>
  <c r="O78" i="3"/>
  <c r="O91" i="3"/>
  <c r="J99" i="3"/>
  <c r="I99" i="3"/>
  <c r="O107" i="3"/>
  <c r="W108" i="3"/>
  <c r="Q118" i="3"/>
  <c r="Q124" i="3"/>
  <c r="O138" i="3"/>
  <c r="Q140" i="3"/>
  <c r="P140" i="3"/>
  <c r="Q138" i="3"/>
  <c r="P138" i="3"/>
  <c r="O136" i="3"/>
  <c r="P139" i="3"/>
  <c r="Q137" i="3"/>
  <c r="Q134" i="3"/>
  <c r="O139" i="3"/>
  <c r="O140" i="3"/>
  <c r="P135" i="3"/>
  <c r="S160" i="3"/>
  <c r="S159" i="3"/>
  <c r="Q45" i="3"/>
  <c r="P46" i="3"/>
  <c r="P54" i="3"/>
  <c r="P70" i="3"/>
  <c r="O77" i="3"/>
  <c r="P78" i="3"/>
  <c r="J83" i="3"/>
  <c r="I83" i="3"/>
  <c r="K83" i="3" s="1"/>
  <c r="O82" i="3"/>
  <c r="Q85" i="3"/>
  <c r="P85" i="3"/>
  <c r="O85" i="3"/>
  <c r="P84" i="3"/>
  <c r="P88" i="3"/>
  <c r="O98" i="3"/>
  <c r="P97" i="3"/>
  <c r="Q96" i="3"/>
  <c r="Q101" i="3"/>
  <c r="P101" i="3"/>
  <c r="O101" i="3"/>
  <c r="P100" i="3"/>
  <c r="Q102" i="3"/>
  <c r="Q111" i="3"/>
  <c r="Q114" i="3"/>
  <c r="U131" i="3"/>
  <c r="U130" i="3"/>
  <c r="Q135" i="3"/>
  <c r="O40" i="3"/>
  <c r="I46" i="3"/>
  <c r="K46" i="3" s="1"/>
  <c r="P47" i="3"/>
  <c r="O48" i="3"/>
  <c r="I54" i="3"/>
  <c r="K54" i="3" s="1"/>
  <c r="P55" i="3"/>
  <c r="O56" i="3"/>
  <c r="I62" i="3"/>
  <c r="K62" i="3" s="1"/>
  <c r="P63" i="3"/>
  <c r="O64" i="3"/>
  <c r="I70" i="3"/>
  <c r="K70" i="3" s="1"/>
  <c r="P71" i="3"/>
  <c r="O72" i="3"/>
  <c r="O73" i="3"/>
  <c r="W73" i="3"/>
  <c r="P77" i="3"/>
  <c r="P80" i="3"/>
  <c r="J81" i="3"/>
  <c r="Q86" i="3"/>
  <c r="Q92" i="3"/>
  <c r="Q95" i="3"/>
  <c r="Q98" i="3"/>
  <c r="Q108" i="3"/>
  <c r="O115" i="3"/>
  <c r="J147" i="3"/>
  <c r="I147" i="3"/>
  <c r="P40" i="3"/>
  <c r="P48" i="3"/>
  <c r="P56" i="3"/>
  <c r="P64" i="3"/>
  <c r="O65" i="3"/>
  <c r="I71" i="3"/>
  <c r="K71" i="3" s="1"/>
  <c r="P72" i="3"/>
  <c r="P73" i="3"/>
  <c r="O74" i="3"/>
  <c r="O75" i="3"/>
  <c r="O76" i="3"/>
  <c r="J78" i="3"/>
  <c r="I78" i="3"/>
  <c r="K78" i="3" s="1"/>
  <c r="S78" i="3"/>
  <c r="Q80" i="3"/>
  <c r="Q82" i="3"/>
  <c r="O99" i="3"/>
  <c r="O105" i="3"/>
  <c r="O108" i="3"/>
  <c r="K109" i="3"/>
  <c r="P115" i="3"/>
  <c r="J123" i="3"/>
  <c r="I123" i="3"/>
  <c r="K123" i="3" s="1"/>
  <c r="Q121" i="3"/>
  <c r="O122" i="3"/>
  <c r="P121" i="3"/>
  <c r="Q120" i="3"/>
  <c r="Q125" i="3"/>
  <c r="P125" i="3"/>
  <c r="O125" i="3"/>
  <c r="P124" i="3"/>
  <c r="K127" i="3"/>
  <c r="S168" i="3"/>
  <c r="S167" i="3"/>
  <c r="Q73" i="3"/>
  <c r="O83" i="3"/>
  <c r="P99" i="3"/>
  <c r="Q103" i="3"/>
  <c r="P112" i="3"/>
  <c r="Q116" i="3"/>
  <c r="U118" i="3"/>
  <c r="Q119" i="3"/>
  <c r="I131" i="3"/>
  <c r="K131" i="3" s="1"/>
  <c r="J131" i="3"/>
  <c r="S143" i="3"/>
  <c r="S144" i="3"/>
  <c r="Q83" i="3"/>
  <c r="Q91" i="3"/>
  <c r="Q99" i="3"/>
  <c r="Q107" i="3"/>
  <c r="Q115" i="3"/>
  <c r="Q123" i="3"/>
  <c r="J162" i="3"/>
  <c r="I162" i="3"/>
  <c r="J170" i="3"/>
  <c r="I170" i="3"/>
  <c r="J178" i="3"/>
  <c r="I178" i="3"/>
  <c r="Q191" i="3"/>
  <c r="U203" i="3"/>
  <c r="U204" i="3"/>
  <c r="U211" i="3"/>
  <c r="U212" i="3"/>
  <c r="U219" i="3"/>
  <c r="U220" i="3"/>
  <c r="U227" i="3"/>
  <c r="U228" i="3"/>
  <c r="U235" i="3"/>
  <c r="U236" i="3"/>
  <c r="U243" i="3"/>
  <c r="U244" i="3"/>
  <c r="U251" i="3"/>
  <c r="U252" i="3"/>
  <c r="U259" i="3"/>
  <c r="U260" i="3"/>
  <c r="U267" i="3"/>
  <c r="U268" i="3"/>
  <c r="I84" i="3"/>
  <c r="K84" i="3" s="1"/>
  <c r="O86" i="3"/>
  <c r="I92" i="3"/>
  <c r="K92" i="3" s="1"/>
  <c r="O94" i="3"/>
  <c r="I100" i="3"/>
  <c r="K100" i="3" s="1"/>
  <c r="O102" i="3"/>
  <c r="I108" i="3"/>
  <c r="K108" i="3" s="1"/>
  <c r="O110" i="3"/>
  <c r="I116" i="3"/>
  <c r="K116" i="3" s="1"/>
  <c r="O118" i="3"/>
  <c r="I124" i="3"/>
  <c r="K124" i="3" s="1"/>
  <c r="J127" i="3"/>
  <c r="O129" i="3"/>
  <c r="I130" i="3"/>
  <c r="K130" i="3" s="1"/>
  <c r="W131" i="3"/>
  <c r="O130" i="3"/>
  <c r="P132" i="3"/>
  <c r="I138" i="3"/>
  <c r="K138" i="3" s="1"/>
  <c r="Q139" i="3"/>
  <c r="U150" i="3"/>
  <c r="Q151" i="3"/>
  <c r="I154" i="3"/>
  <c r="K154" i="3" s="1"/>
  <c r="Q155" i="3"/>
  <c r="O194" i="3"/>
  <c r="O192" i="3"/>
  <c r="P191" i="3"/>
  <c r="Q190" i="3"/>
  <c r="Q196" i="3"/>
  <c r="P196" i="3"/>
  <c r="O196" i="3"/>
  <c r="P195" i="3"/>
  <c r="Q194" i="3"/>
  <c r="I85" i="3"/>
  <c r="K85" i="3" s="1"/>
  <c r="P86" i="3"/>
  <c r="O87" i="3"/>
  <c r="I93" i="3"/>
  <c r="K93" i="3" s="1"/>
  <c r="P94" i="3"/>
  <c r="O95" i="3"/>
  <c r="P102" i="3"/>
  <c r="P110" i="3"/>
  <c r="O111" i="3"/>
  <c r="I117" i="3"/>
  <c r="K117" i="3" s="1"/>
  <c r="P118" i="3"/>
  <c r="O119" i="3"/>
  <c r="I125" i="3"/>
  <c r="K125" i="3" s="1"/>
  <c r="I126" i="3"/>
  <c r="K126" i="3" s="1"/>
  <c r="P128" i="3"/>
  <c r="W128" i="3"/>
  <c r="P129" i="3"/>
  <c r="O132" i="3"/>
  <c r="P137" i="3"/>
  <c r="Q143" i="3"/>
  <c r="Q147" i="3"/>
  <c r="K150" i="3"/>
  <c r="P153" i="3"/>
  <c r="O162" i="3"/>
  <c r="O160" i="3"/>
  <c r="P159" i="3"/>
  <c r="Q158" i="3"/>
  <c r="Q164" i="3"/>
  <c r="P164" i="3"/>
  <c r="O164" i="3"/>
  <c r="P163" i="3"/>
  <c r="Q162" i="3"/>
  <c r="O170" i="3"/>
  <c r="O168" i="3"/>
  <c r="P167" i="3"/>
  <c r="Q166" i="3"/>
  <c r="Q172" i="3"/>
  <c r="P172" i="3"/>
  <c r="O172" i="3"/>
  <c r="P171" i="3"/>
  <c r="Q170" i="3"/>
  <c r="J186" i="3"/>
  <c r="I186" i="3"/>
  <c r="S202" i="3"/>
  <c r="S203" i="3"/>
  <c r="S210" i="3"/>
  <c r="S211" i="3"/>
  <c r="S218" i="3"/>
  <c r="S219" i="3"/>
  <c r="S226" i="3"/>
  <c r="S227" i="3"/>
  <c r="S234" i="3"/>
  <c r="S235" i="3"/>
  <c r="S242" i="3"/>
  <c r="S243" i="3"/>
  <c r="S250" i="3"/>
  <c r="S251" i="3"/>
  <c r="S258" i="3"/>
  <c r="S259" i="3"/>
  <c r="S266" i="3"/>
  <c r="S267" i="3"/>
  <c r="O80" i="3"/>
  <c r="I86" i="3"/>
  <c r="K86" i="3" s="1"/>
  <c r="P87" i="3"/>
  <c r="O88" i="3"/>
  <c r="I94" i="3"/>
  <c r="K94" i="3" s="1"/>
  <c r="P95" i="3"/>
  <c r="O96" i="3"/>
  <c r="I102" i="3"/>
  <c r="K102" i="3" s="1"/>
  <c r="P103" i="3"/>
  <c r="O104" i="3"/>
  <c r="I110" i="3"/>
  <c r="K110" i="3" s="1"/>
  <c r="P111" i="3"/>
  <c r="O112" i="3"/>
  <c r="I118" i="3"/>
  <c r="K118" i="3" s="1"/>
  <c r="P119" i="3"/>
  <c r="O120" i="3"/>
  <c r="O128" i="3"/>
  <c r="Q129" i="3"/>
  <c r="Q131" i="3"/>
  <c r="Q132" i="3"/>
  <c r="K133" i="3"/>
  <c r="J135" i="3"/>
  <c r="I135" i="3"/>
  <c r="K142" i="3"/>
  <c r="P145" i="3"/>
  <c r="O147" i="3"/>
  <c r="Q149" i="3"/>
  <c r="P149" i="3"/>
  <c r="O149" i="3"/>
  <c r="K158" i="3"/>
  <c r="Q161" i="3"/>
  <c r="Q167" i="3"/>
  <c r="Q169" i="3"/>
  <c r="Q175" i="3"/>
  <c r="O81" i="3"/>
  <c r="O89" i="3"/>
  <c r="O121" i="3"/>
  <c r="U126" i="3"/>
  <c r="Q128" i="3"/>
  <c r="O131" i="3"/>
  <c r="P136" i="3"/>
  <c r="Q141" i="3"/>
  <c r="P141" i="3"/>
  <c r="O141" i="3"/>
  <c r="Q145" i="3"/>
  <c r="Q157" i="3"/>
  <c r="P157" i="3"/>
  <c r="O157" i="3"/>
  <c r="P162" i="3"/>
  <c r="P170" i="3"/>
  <c r="W179" i="3"/>
  <c r="O178" i="3"/>
  <c r="O176" i="3"/>
  <c r="P175" i="3"/>
  <c r="Q174" i="3"/>
  <c r="Q180" i="3"/>
  <c r="P180" i="3"/>
  <c r="O180" i="3"/>
  <c r="P179" i="3"/>
  <c r="Q178" i="3"/>
  <c r="P185" i="3"/>
  <c r="U189" i="3"/>
  <c r="Q195" i="3"/>
  <c r="U207" i="3"/>
  <c r="U208" i="3"/>
  <c r="U215" i="3"/>
  <c r="U216" i="3"/>
  <c r="U223" i="3"/>
  <c r="U224" i="3"/>
  <c r="U231" i="3"/>
  <c r="U232" i="3"/>
  <c r="U239" i="3"/>
  <c r="U240" i="3"/>
  <c r="U247" i="3"/>
  <c r="U248" i="3"/>
  <c r="U255" i="3"/>
  <c r="U256" i="3"/>
  <c r="U263" i="3"/>
  <c r="U264" i="3"/>
  <c r="Q127" i="3"/>
  <c r="O127" i="3"/>
  <c r="P126" i="3"/>
  <c r="P152" i="3"/>
  <c r="Q165" i="3"/>
  <c r="J194" i="3"/>
  <c r="I194" i="3"/>
  <c r="O195" i="3"/>
  <c r="Q81" i="3"/>
  <c r="P82" i="3"/>
  <c r="Q89" i="3"/>
  <c r="P90" i="3"/>
  <c r="Q97" i="3"/>
  <c r="P98" i="3"/>
  <c r="Q105" i="3"/>
  <c r="P106" i="3"/>
  <c r="P114" i="3"/>
  <c r="P122" i="3"/>
  <c r="P127" i="3"/>
  <c r="K137" i="3"/>
  <c r="J139" i="3"/>
  <c r="I139" i="3"/>
  <c r="K139" i="3" s="1"/>
  <c r="O146" i="3"/>
  <c r="O144" i="3"/>
  <c r="P143" i="3"/>
  <c r="Q142" i="3"/>
  <c r="Q148" i="3"/>
  <c r="P148" i="3"/>
  <c r="K153" i="3"/>
  <c r="J155" i="3"/>
  <c r="I155" i="3"/>
  <c r="O186" i="3"/>
  <c r="O184" i="3"/>
  <c r="P183" i="3"/>
  <c r="Q182" i="3"/>
  <c r="Q188" i="3"/>
  <c r="P188" i="3"/>
  <c r="O188" i="3"/>
  <c r="P187" i="3"/>
  <c r="Q186" i="3"/>
  <c r="S206" i="3"/>
  <c r="S207" i="3"/>
  <c r="S214" i="3"/>
  <c r="S215" i="3"/>
  <c r="S222" i="3"/>
  <c r="S223" i="3"/>
  <c r="S230" i="3"/>
  <c r="S231" i="3"/>
  <c r="S238" i="3"/>
  <c r="S239" i="3"/>
  <c r="S246" i="3"/>
  <c r="S247" i="3"/>
  <c r="S254" i="3"/>
  <c r="S255" i="3"/>
  <c r="S262" i="3"/>
  <c r="S263" i="3"/>
  <c r="I163" i="3"/>
  <c r="K163" i="3" s="1"/>
  <c r="O165" i="3"/>
  <c r="I171" i="3"/>
  <c r="K171" i="3" s="1"/>
  <c r="O173" i="3"/>
  <c r="I179" i="3"/>
  <c r="K179" i="3" s="1"/>
  <c r="O181" i="3"/>
  <c r="I187" i="3"/>
  <c r="K187" i="3" s="1"/>
  <c r="O189" i="3"/>
  <c r="I195" i="3"/>
  <c r="K195" i="3" s="1"/>
  <c r="O197" i="3"/>
  <c r="O134" i="3"/>
  <c r="O142" i="3"/>
  <c r="O150" i="3"/>
  <c r="O158" i="3"/>
  <c r="P165" i="3"/>
  <c r="O166" i="3"/>
  <c r="P173" i="3"/>
  <c r="O174" i="3"/>
  <c r="P181" i="3"/>
  <c r="O182" i="3"/>
  <c r="P189" i="3"/>
  <c r="P197" i="3"/>
  <c r="P134" i="3"/>
  <c r="O135" i="3"/>
  <c r="P142" i="3"/>
  <c r="O143" i="3"/>
  <c r="P150" i="3"/>
  <c r="O151" i="3"/>
  <c r="P158" i="3"/>
  <c r="O159" i="3"/>
  <c r="O167" i="3"/>
  <c r="O175" i="3"/>
  <c r="P182" i="3"/>
  <c r="O183" i="3"/>
  <c r="P190" i="3"/>
  <c r="O191" i="3"/>
  <c r="P198" i="3"/>
  <c r="O199" i="3"/>
  <c r="O137" i="3"/>
  <c r="I143" i="3"/>
  <c r="K143" i="3" s="1"/>
  <c r="O145" i="3"/>
  <c r="I151" i="3"/>
  <c r="K151" i="3" s="1"/>
  <c r="O153" i="3"/>
  <c r="I159" i="3"/>
  <c r="K159" i="3" s="1"/>
  <c r="O161" i="3"/>
  <c r="I167" i="3"/>
  <c r="K167" i="3" s="1"/>
  <c r="P168" i="3"/>
  <c r="O169" i="3"/>
  <c r="I175" i="3"/>
  <c r="K175" i="3" s="1"/>
  <c r="P176" i="3"/>
  <c r="O177" i="3"/>
  <c r="I183" i="3"/>
  <c r="K183" i="3" s="1"/>
  <c r="P184" i="3"/>
  <c r="O185" i="3"/>
  <c r="I191" i="3"/>
  <c r="K191" i="3" s="1"/>
  <c r="P192" i="3"/>
  <c r="O193" i="3"/>
  <c r="I199" i="3"/>
  <c r="K199" i="3" s="1"/>
  <c r="O201" i="3"/>
  <c r="Q136" i="3"/>
  <c r="Q144" i="3"/>
  <c r="Q152" i="3"/>
  <c r="Q160" i="3"/>
  <c r="Q168" i="3"/>
  <c r="Q176" i="3"/>
  <c r="Q184" i="3"/>
  <c r="Q192" i="3"/>
  <c r="Q200" i="3"/>
  <c r="C6" i="1"/>
  <c r="G6" i="1"/>
  <c r="K6" i="1"/>
  <c r="F7" i="1"/>
  <c r="J7" i="1"/>
  <c r="E8" i="1"/>
  <c r="I8" i="1"/>
  <c r="D9" i="1"/>
  <c r="H9" i="1"/>
  <c r="D6" i="1"/>
  <c r="H6" i="1"/>
  <c r="C7" i="1"/>
  <c r="G7" i="1"/>
  <c r="K7" i="1"/>
  <c r="F8" i="1"/>
  <c r="J8" i="1"/>
  <c r="E9" i="1"/>
  <c r="I9" i="1"/>
  <c r="E6" i="1"/>
  <c r="I6" i="1"/>
  <c r="D7" i="1"/>
  <c r="H7" i="1"/>
  <c r="C8" i="1"/>
  <c r="G8" i="1"/>
  <c r="K8" i="1"/>
  <c r="F9" i="1"/>
  <c r="J9" i="1"/>
  <c r="F6" i="1"/>
  <c r="J6" i="1"/>
  <c r="E7" i="1"/>
  <c r="I7" i="1"/>
  <c r="D8" i="1"/>
  <c r="H8" i="1"/>
  <c r="C9" i="1"/>
  <c r="G9" i="1"/>
  <c r="K9" i="1"/>
  <c r="Q17" i="2"/>
  <c r="P17" i="2"/>
  <c r="Q29" i="2"/>
  <c r="S93" i="2"/>
  <c r="S92" i="2"/>
  <c r="S131" i="2"/>
  <c r="S130" i="2"/>
  <c r="P12" i="2"/>
  <c r="O17" i="2"/>
  <c r="I24" i="2"/>
  <c r="K24" i="2" s="1"/>
  <c r="I40" i="2"/>
  <c r="K40" i="2" s="1"/>
  <c r="Q45" i="2"/>
  <c r="O45" i="2"/>
  <c r="Q49" i="2"/>
  <c r="Q48" i="2"/>
  <c r="P48" i="2"/>
  <c r="P49" i="2"/>
  <c r="O48" i="2"/>
  <c r="O49" i="2"/>
  <c r="Q125" i="2"/>
  <c r="O125" i="2"/>
  <c r="P124" i="2"/>
  <c r="Q124" i="2"/>
  <c r="O124" i="2"/>
  <c r="P125" i="2"/>
  <c r="P123" i="2"/>
  <c r="O121" i="2"/>
  <c r="S153" i="2"/>
  <c r="S152" i="2"/>
  <c r="O62" i="2"/>
  <c r="Q65" i="2"/>
  <c r="O65" i="2"/>
  <c r="P64" i="2"/>
  <c r="Q63" i="2"/>
  <c r="Q64" i="2"/>
  <c r="Q62" i="2"/>
  <c r="O64" i="2"/>
  <c r="P63" i="2"/>
  <c r="P65" i="2"/>
  <c r="J2" i="2"/>
  <c r="I2" i="2"/>
  <c r="K2" i="2" s="1"/>
  <c r="Q6" i="2"/>
  <c r="P6" i="2"/>
  <c r="Q7" i="2"/>
  <c r="I8" i="2"/>
  <c r="K8" i="2" s="1"/>
  <c r="Q9" i="2"/>
  <c r="P9" i="2"/>
  <c r="U10" i="2"/>
  <c r="Q12" i="2"/>
  <c r="W13" i="2"/>
  <c r="O16" i="2"/>
  <c r="K21" i="2"/>
  <c r="Q26" i="2"/>
  <c r="P26" i="2"/>
  <c r="O26" i="2"/>
  <c r="U27" i="2"/>
  <c r="Q42" i="2"/>
  <c r="P45" i="2"/>
  <c r="P59" i="2"/>
  <c r="K64" i="2"/>
  <c r="K74" i="2"/>
  <c r="K90" i="2"/>
  <c r="Q117" i="2"/>
  <c r="O117" i="2"/>
  <c r="P116" i="2"/>
  <c r="Q115" i="2"/>
  <c r="Q116" i="2"/>
  <c r="O116" i="2"/>
  <c r="P117" i="2"/>
  <c r="P115" i="2"/>
  <c r="Q106" i="2"/>
  <c r="Q111" i="2"/>
  <c r="Q107" i="2"/>
  <c r="O113" i="2"/>
  <c r="Q94" i="2"/>
  <c r="Q86" i="2"/>
  <c r="Q78" i="2"/>
  <c r="Q70" i="2"/>
  <c r="W5" i="2"/>
  <c r="O6" i="2"/>
  <c r="O9" i="2"/>
  <c r="P11" i="2"/>
  <c r="P16" i="2"/>
  <c r="Y16" i="2"/>
  <c r="P20" i="2"/>
  <c r="Y24" i="2"/>
  <c r="I29" i="2"/>
  <c r="K29" i="2" s="1"/>
  <c r="O30" i="2"/>
  <c r="Q34" i="2"/>
  <c r="J41" i="2"/>
  <c r="I41" i="2"/>
  <c r="K41" i="2" s="1"/>
  <c r="I47" i="2"/>
  <c r="K47" i="2" s="1"/>
  <c r="Q50" i="2"/>
  <c r="J51" i="2"/>
  <c r="K51" i="2" s="1"/>
  <c r="P56" i="2"/>
  <c r="S85" i="2"/>
  <c r="S84" i="2"/>
  <c r="O5" i="2"/>
  <c r="S7" i="2"/>
  <c r="Q11" i="2"/>
  <c r="I12" i="2"/>
  <c r="K12" i="2" s="1"/>
  <c r="Q13" i="2"/>
  <c r="P13" i="2"/>
  <c r="Q16" i="2"/>
  <c r="Q18" i="2"/>
  <c r="S32" i="2"/>
  <c r="Q37" i="2"/>
  <c r="S52" i="2"/>
  <c r="S53" i="2"/>
  <c r="W55" i="2"/>
  <c r="W54" i="2"/>
  <c r="U69" i="2"/>
  <c r="U68" i="2"/>
  <c r="P31" i="2"/>
  <c r="P28" i="2"/>
  <c r="O28" i="2"/>
  <c r="Q31" i="2"/>
  <c r="O31" i="2"/>
  <c r="Q30" i="2"/>
  <c r="P3" i="2"/>
  <c r="O4" i="2"/>
  <c r="P5" i="2"/>
  <c r="O13" i="2"/>
  <c r="P15" i="2"/>
  <c r="K17" i="2"/>
  <c r="Y19" i="2"/>
  <c r="Q21" i="2"/>
  <c r="O18" i="2"/>
  <c r="P21" i="2"/>
  <c r="O21" i="2"/>
  <c r="Q20" i="2"/>
  <c r="W25" i="2"/>
  <c r="K39" i="2"/>
  <c r="P40" i="2"/>
  <c r="Q46" i="2"/>
  <c r="K55" i="2"/>
  <c r="Q83" i="2"/>
  <c r="Q2" i="2"/>
  <c r="P2" i="2"/>
  <c r="Q3" i="2"/>
  <c r="Q5" i="2"/>
  <c r="O8" i="2"/>
  <c r="Q10" i="2"/>
  <c r="Q15" i="2"/>
  <c r="S18" i="2"/>
  <c r="J20" i="2"/>
  <c r="I20" i="2"/>
  <c r="K20" i="2" s="1"/>
  <c r="Q24" i="2"/>
  <c r="O29" i="2"/>
  <c r="Y29" i="2"/>
  <c r="Q38" i="2"/>
  <c r="Q40" i="2"/>
  <c r="O41" i="2"/>
  <c r="S46" i="2"/>
  <c r="P57" i="2"/>
  <c r="Q101" i="2"/>
  <c r="O2" i="2"/>
  <c r="P8" i="2"/>
  <c r="P19" i="2"/>
  <c r="W20" i="2"/>
  <c r="Q22" i="2"/>
  <c r="O24" i="2"/>
  <c r="O22" i="2"/>
  <c r="Q25" i="2"/>
  <c r="P25" i="2"/>
  <c r="P29" i="2"/>
  <c r="Q33" i="2"/>
  <c r="I34" i="2"/>
  <c r="K34" i="2" s="1"/>
  <c r="U37" i="2"/>
  <c r="P41" i="2"/>
  <c r="W42" i="2"/>
  <c r="P44" i="2"/>
  <c r="Q44" i="2"/>
  <c r="O44" i="2"/>
  <c r="P36" i="2"/>
  <c r="Q47" i="2"/>
  <c r="K50" i="2"/>
  <c r="S57" i="2"/>
  <c r="S56" i="2"/>
  <c r="Q61" i="2"/>
  <c r="P61" i="2"/>
  <c r="Q60" i="2"/>
  <c r="O61" i="2"/>
  <c r="O60" i="2"/>
  <c r="Q56" i="2"/>
  <c r="Q52" i="2"/>
  <c r="S77" i="2"/>
  <c r="S76" i="2"/>
  <c r="K98" i="2"/>
  <c r="P58" i="2"/>
  <c r="O63" i="2"/>
  <c r="J71" i="2"/>
  <c r="I71" i="2"/>
  <c r="K71" i="2" s="1"/>
  <c r="J79" i="2"/>
  <c r="I79" i="2"/>
  <c r="K79" i="2" s="1"/>
  <c r="Q84" i="2"/>
  <c r="J87" i="2"/>
  <c r="I87" i="2"/>
  <c r="K87" i="2" s="1"/>
  <c r="Q92" i="2"/>
  <c r="J95" i="2"/>
  <c r="I95" i="2"/>
  <c r="K95" i="2" s="1"/>
  <c r="Q102" i="2"/>
  <c r="U116" i="2"/>
  <c r="U115" i="2"/>
  <c r="U124" i="2"/>
  <c r="U123" i="2"/>
  <c r="I25" i="2"/>
  <c r="K25" i="2" s="1"/>
  <c r="P27" i="2"/>
  <c r="I30" i="2"/>
  <c r="K30" i="2" s="1"/>
  <c r="I36" i="2"/>
  <c r="K36" i="2" s="1"/>
  <c r="Q36" i="2"/>
  <c r="O37" i="2"/>
  <c r="Q43" i="2"/>
  <c r="S45" i="2"/>
  <c r="J53" i="2"/>
  <c r="K53" i="2" s="1"/>
  <c r="O55" i="2"/>
  <c r="I56" i="2"/>
  <c r="K56" i="2" s="1"/>
  <c r="J57" i="2"/>
  <c r="K57" i="2" s="1"/>
  <c r="O58" i="2"/>
  <c r="P60" i="2"/>
  <c r="S61" i="2"/>
  <c r="O70" i="2"/>
  <c r="Q73" i="2"/>
  <c r="P73" i="2"/>
  <c r="Q72" i="2"/>
  <c r="O73" i="2"/>
  <c r="P72" i="2"/>
  <c r="Q71" i="2"/>
  <c r="O78" i="2"/>
  <c r="Q81" i="2"/>
  <c r="P81" i="2"/>
  <c r="Q80" i="2"/>
  <c r="O81" i="2"/>
  <c r="P80" i="2"/>
  <c r="Q79" i="2"/>
  <c r="O86" i="2"/>
  <c r="Q89" i="2"/>
  <c r="P89" i="2"/>
  <c r="Q88" i="2"/>
  <c r="O89" i="2"/>
  <c r="P88" i="2"/>
  <c r="Q87" i="2"/>
  <c r="O94" i="2"/>
  <c r="Q97" i="2"/>
  <c r="P97" i="2"/>
  <c r="Q96" i="2"/>
  <c r="O97" i="2"/>
  <c r="P96" i="2"/>
  <c r="Q95" i="2"/>
  <c r="K99" i="2"/>
  <c r="I9" i="2"/>
  <c r="K9" i="2" s="1"/>
  <c r="O10" i="2"/>
  <c r="I13" i="2"/>
  <c r="K13" i="2" s="1"/>
  <c r="O14" i="2"/>
  <c r="O27" i="2"/>
  <c r="P32" i="2"/>
  <c r="P37" i="2"/>
  <c r="O38" i="2"/>
  <c r="O43" i="2"/>
  <c r="Q51" i="2"/>
  <c r="O51" i="2"/>
  <c r="P54" i="2"/>
  <c r="P55" i="2"/>
  <c r="Q58" i="2"/>
  <c r="J59" i="2"/>
  <c r="I59" i="2"/>
  <c r="K59" i="2" s="1"/>
  <c r="K72" i="2"/>
  <c r="Q74" i="2"/>
  <c r="K80" i="2"/>
  <c r="Q82" i="2"/>
  <c r="K88" i="2"/>
  <c r="Q90" i="2"/>
  <c r="K96" i="2"/>
  <c r="W101" i="2"/>
  <c r="W100" i="2"/>
  <c r="Q103" i="2"/>
  <c r="U135" i="2"/>
  <c r="U134" i="2"/>
  <c r="P10" i="2"/>
  <c r="P14" i="2"/>
  <c r="P18" i="2"/>
  <c r="P22" i="2"/>
  <c r="P23" i="2"/>
  <c r="I26" i="2"/>
  <c r="K26" i="2" s="1"/>
  <c r="Q27" i="2"/>
  <c r="I32" i="2"/>
  <c r="K32" i="2" s="1"/>
  <c r="Q32" i="2"/>
  <c r="O33" i="2"/>
  <c r="I37" i="2"/>
  <c r="K37" i="2" s="1"/>
  <c r="P38" i="2"/>
  <c r="P39" i="2"/>
  <c r="U40" i="2"/>
  <c r="W41" i="2"/>
  <c r="O42" i="2"/>
  <c r="P43" i="2"/>
  <c r="P51" i="2"/>
  <c r="O54" i="2"/>
  <c r="Q55" i="2"/>
  <c r="P62" i="2"/>
  <c r="O71" i="2"/>
  <c r="O79" i="2"/>
  <c r="O87" i="2"/>
  <c r="O95" i="2"/>
  <c r="K101" i="2"/>
  <c r="P112" i="2"/>
  <c r="P120" i="2"/>
  <c r="U129" i="2"/>
  <c r="U128" i="2"/>
  <c r="J147" i="2"/>
  <c r="I147" i="2"/>
  <c r="O3" i="2"/>
  <c r="I6" i="2"/>
  <c r="K6" i="2" s="1"/>
  <c r="O7" i="2"/>
  <c r="I10" i="2"/>
  <c r="K10" i="2" s="1"/>
  <c r="O11" i="2"/>
  <c r="I14" i="2"/>
  <c r="K14" i="2" s="1"/>
  <c r="O15" i="2"/>
  <c r="I18" i="2"/>
  <c r="K18" i="2" s="1"/>
  <c r="O19" i="2"/>
  <c r="I22" i="2"/>
  <c r="K22" i="2" s="1"/>
  <c r="O23" i="2"/>
  <c r="P33" i="2"/>
  <c r="O34" i="2"/>
  <c r="O39" i="2"/>
  <c r="P42" i="2"/>
  <c r="P46" i="2"/>
  <c r="W46" i="2"/>
  <c r="O47" i="2"/>
  <c r="I48" i="2"/>
  <c r="K48" i="2" s="1"/>
  <c r="J49" i="2"/>
  <c r="K49" i="2" s="1"/>
  <c r="P50" i="2"/>
  <c r="Q54" i="2"/>
  <c r="Q57" i="2"/>
  <c r="J65" i="2"/>
  <c r="I65" i="2"/>
  <c r="K65" i="2" s="1"/>
  <c r="Q69" i="2"/>
  <c r="P71" i="2"/>
  <c r="P79" i="2"/>
  <c r="P87" i="2"/>
  <c r="P95" i="2"/>
  <c r="W97" i="2"/>
  <c r="O115" i="2"/>
  <c r="O123" i="2"/>
  <c r="Q23" i="2"/>
  <c r="Q28" i="2"/>
  <c r="P35" i="2"/>
  <c r="I38" i="2"/>
  <c r="K38" i="2" s="1"/>
  <c r="Q39" i="2"/>
  <c r="O40" i="2"/>
  <c r="K43" i="2"/>
  <c r="O46" i="2"/>
  <c r="P47" i="2"/>
  <c r="S48" i="2"/>
  <c r="O50" i="2"/>
  <c r="Q53" i="2"/>
  <c r="O53" i="2"/>
  <c r="O57" i="2"/>
  <c r="K58" i="2"/>
  <c r="Q59" i="2"/>
  <c r="O59" i="2"/>
  <c r="J63" i="2"/>
  <c r="K63" i="2" s="1"/>
  <c r="Q67" i="2"/>
  <c r="P67" i="2"/>
  <c r="O67" i="2"/>
  <c r="Q77" i="2"/>
  <c r="Q85" i="2"/>
  <c r="Q93" i="2"/>
  <c r="W102" i="2"/>
  <c r="W103" i="2"/>
  <c r="Q105" i="2"/>
  <c r="Q104" i="2"/>
  <c r="P105" i="2"/>
  <c r="P104" i="2"/>
  <c r="O103" i="2"/>
  <c r="O102" i="2"/>
  <c r="O101" i="2"/>
  <c r="P100" i="2"/>
  <c r="P99" i="2"/>
  <c r="O105" i="2"/>
  <c r="O104" i="2"/>
  <c r="P119" i="2"/>
  <c r="O119" i="2"/>
  <c r="O118" i="2"/>
  <c r="Q119" i="2"/>
  <c r="O137" i="2"/>
  <c r="P136" i="2"/>
  <c r="Q141" i="2"/>
  <c r="P141" i="2"/>
  <c r="Q140" i="2"/>
  <c r="O141" i="2"/>
  <c r="P140" i="2"/>
  <c r="O140" i="2"/>
  <c r="P139" i="2"/>
  <c r="Q132" i="2"/>
  <c r="Q130" i="2"/>
  <c r="P98" i="2"/>
  <c r="P110" i="2"/>
  <c r="Q127" i="2"/>
  <c r="P127" i="2"/>
  <c r="Q126" i="2"/>
  <c r="O127" i="2"/>
  <c r="Q134" i="2"/>
  <c r="O145" i="2"/>
  <c r="P144" i="2"/>
  <c r="Q149" i="2"/>
  <c r="P149" i="2"/>
  <c r="Q148" i="2"/>
  <c r="O149" i="2"/>
  <c r="P148" i="2"/>
  <c r="K107" i="2"/>
  <c r="J133" i="2"/>
  <c r="I133" i="2"/>
  <c r="O139" i="2"/>
  <c r="K140" i="2"/>
  <c r="J155" i="2"/>
  <c r="I155" i="2"/>
  <c r="K155" i="2" s="1"/>
  <c r="P66" i="2"/>
  <c r="I73" i="2"/>
  <c r="K73" i="2" s="1"/>
  <c r="P74" i="2"/>
  <c r="O75" i="2"/>
  <c r="I81" i="2"/>
  <c r="K81" i="2" s="1"/>
  <c r="P82" i="2"/>
  <c r="O83" i="2"/>
  <c r="I89" i="2"/>
  <c r="K89" i="2" s="1"/>
  <c r="P90" i="2"/>
  <c r="O91" i="2"/>
  <c r="I97" i="2"/>
  <c r="K97" i="2" s="1"/>
  <c r="Q98" i="2"/>
  <c r="Q99" i="2"/>
  <c r="I100" i="2"/>
  <c r="K100" i="2" s="1"/>
  <c r="Q100" i="2"/>
  <c r="P101" i="2"/>
  <c r="P102" i="2"/>
  <c r="P103" i="2"/>
  <c r="S106" i="2"/>
  <c r="U107" i="2"/>
  <c r="Q109" i="2"/>
  <c r="Q110" i="2"/>
  <c r="I111" i="2"/>
  <c r="K111" i="2" s="1"/>
  <c r="K113" i="2"/>
  <c r="K121" i="2"/>
  <c r="J131" i="2"/>
  <c r="K131" i="2" s="1"/>
  <c r="Q137" i="2"/>
  <c r="W140" i="2"/>
  <c r="Q142" i="2"/>
  <c r="O147" i="2"/>
  <c r="K148" i="2"/>
  <c r="P75" i="2"/>
  <c r="P83" i="2"/>
  <c r="P91" i="2"/>
  <c r="O108" i="2"/>
  <c r="O109" i="2"/>
  <c r="W113" i="2"/>
  <c r="P114" i="2"/>
  <c r="O114" i="2"/>
  <c r="J117" i="2"/>
  <c r="I117" i="2"/>
  <c r="K117" i="2" s="1"/>
  <c r="Q118" i="2"/>
  <c r="W121" i="2"/>
  <c r="P122" i="2"/>
  <c r="O122" i="2"/>
  <c r="P121" i="2"/>
  <c r="Q120" i="2"/>
  <c r="O120" i="2"/>
  <c r="J125" i="2"/>
  <c r="I125" i="2"/>
  <c r="P126" i="2"/>
  <c r="P147" i="2"/>
  <c r="I67" i="2"/>
  <c r="K67" i="2" s="1"/>
  <c r="O69" i="2"/>
  <c r="I75" i="2"/>
  <c r="K75" i="2" s="1"/>
  <c r="O77" i="2"/>
  <c r="I83" i="2"/>
  <c r="K83" i="2" s="1"/>
  <c r="P84" i="2"/>
  <c r="O85" i="2"/>
  <c r="I91" i="2"/>
  <c r="K91" i="2" s="1"/>
  <c r="P92" i="2"/>
  <c r="O93" i="2"/>
  <c r="I103" i="2"/>
  <c r="K103" i="2" s="1"/>
  <c r="P108" i="2"/>
  <c r="P109" i="2"/>
  <c r="J112" i="2"/>
  <c r="I112" i="2"/>
  <c r="S112" i="2"/>
  <c r="Q114" i="2"/>
  <c r="J115" i="2"/>
  <c r="K115" i="2" s="1"/>
  <c r="K119" i="2"/>
  <c r="S120" i="2"/>
  <c r="Q122" i="2"/>
  <c r="J123" i="2"/>
  <c r="K123" i="2" s="1"/>
  <c r="O126" i="2"/>
  <c r="O129" i="2"/>
  <c r="P128" i="2"/>
  <c r="Q133" i="2"/>
  <c r="O133" i="2"/>
  <c r="P132" i="2"/>
  <c r="Q145" i="2"/>
  <c r="Q68" i="2"/>
  <c r="P69" i="2"/>
  <c r="Q76" i="2"/>
  <c r="P77" i="2"/>
  <c r="P85" i="2"/>
  <c r="P93" i="2"/>
  <c r="O107" i="2"/>
  <c r="Q108" i="2"/>
  <c r="U110" i="2"/>
  <c r="O111" i="2"/>
  <c r="J120" i="2"/>
  <c r="I120" i="2"/>
  <c r="Q129" i="2"/>
  <c r="O131" i="2"/>
  <c r="K132" i="2"/>
  <c r="P133" i="2"/>
  <c r="Q135" i="2"/>
  <c r="P135" i="2"/>
  <c r="O135" i="2"/>
  <c r="U158" i="2"/>
  <c r="K160" i="2"/>
  <c r="S164" i="2"/>
  <c r="S163" i="2"/>
  <c r="P106" i="2"/>
  <c r="P107" i="2"/>
  <c r="I108" i="2"/>
  <c r="K108" i="2" s="1"/>
  <c r="J109" i="2"/>
  <c r="K109" i="2" s="1"/>
  <c r="P111" i="2"/>
  <c r="U112" i="2"/>
  <c r="Q113" i="2"/>
  <c r="P113" i="2"/>
  <c r="Q112" i="2"/>
  <c r="S114" i="2"/>
  <c r="U120" i="2"/>
  <c r="Q121" i="2"/>
  <c r="S122" i="2"/>
  <c r="P131" i="2"/>
  <c r="W134" i="2"/>
  <c r="K137" i="2"/>
  <c r="P138" i="2"/>
  <c r="J139" i="2"/>
  <c r="I139" i="2"/>
  <c r="U142" i="2"/>
  <c r="O148" i="2"/>
  <c r="J157" i="2"/>
  <c r="I157" i="2"/>
  <c r="Q123" i="2"/>
  <c r="Q131" i="2"/>
  <c r="Q139" i="2"/>
  <c r="Q147" i="2"/>
  <c r="Q155" i="2"/>
  <c r="O161" i="2"/>
  <c r="K164" i="2"/>
  <c r="O170" i="2"/>
  <c r="P169" i="2"/>
  <c r="Q172" i="2"/>
  <c r="P172" i="2"/>
  <c r="S175" i="2"/>
  <c r="S202" i="2"/>
  <c r="S206" i="2"/>
  <c r="S210" i="2"/>
  <c r="S214" i="2"/>
  <c r="S218" i="2"/>
  <c r="S222" i="2"/>
  <c r="S226" i="2"/>
  <c r="S230" i="2"/>
  <c r="S234" i="2"/>
  <c r="S238" i="2"/>
  <c r="S242" i="2"/>
  <c r="S246" i="2"/>
  <c r="S250" i="2"/>
  <c r="U205" i="2"/>
  <c r="U206" i="2"/>
  <c r="U209" i="2"/>
  <c r="U210" i="2"/>
  <c r="U213" i="2"/>
  <c r="U214" i="2"/>
  <c r="U217" i="2"/>
  <c r="U218" i="2"/>
  <c r="U221" i="2"/>
  <c r="U222" i="2"/>
  <c r="U225" i="2"/>
  <c r="U226" i="2"/>
  <c r="U229" i="2"/>
  <c r="U230" i="2"/>
  <c r="U233" i="2"/>
  <c r="U234" i="2"/>
  <c r="U237" i="2"/>
  <c r="U238" i="2"/>
  <c r="U241" i="2"/>
  <c r="U242" i="2"/>
  <c r="U245" i="2"/>
  <c r="U246" i="2"/>
  <c r="U249" i="2"/>
  <c r="U250" i="2"/>
  <c r="U253" i="2"/>
  <c r="U254" i="2"/>
  <c r="U257" i="2"/>
  <c r="U258" i="2"/>
  <c r="U261" i="2"/>
  <c r="U262" i="2"/>
  <c r="U265" i="2"/>
  <c r="U266" i="2"/>
  <c r="P118" i="2"/>
  <c r="P134" i="2"/>
  <c r="I141" i="2"/>
  <c r="K141" i="2" s="1"/>
  <c r="P142" i="2"/>
  <c r="O143" i="2"/>
  <c r="I149" i="2"/>
  <c r="K149" i="2" s="1"/>
  <c r="P150" i="2"/>
  <c r="O151" i="2"/>
  <c r="U157" i="2"/>
  <c r="Q158" i="2"/>
  <c r="P159" i="2"/>
  <c r="P160" i="2"/>
  <c r="I162" i="2"/>
  <c r="K162" i="2" s="1"/>
  <c r="P165" i="2"/>
  <c r="J166" i="2"/>
  <c r="I166" i="2"/>
  <c r="K166" i="2" s="1"/>
  <c r="O171" i="2"/>
  <c r="Q176" i="2"/>
  <c r="P176" i="2"/>
  <c r="O176" i="2"/>
  <c r="O174" i="2"/>
  <c r="O178" i="2"/>
  <c r="P177" i="2"/>
  <c r="Q180" i="2"/>
  <c r="P180" i="2"/>
  <c r="O180" i="2"/>
  <c r="P179" i="2"/>
  <c r="Q178" i="2"/>
  <c r="Q184" i="2"/>
  <c r="P184" i="2"/>
  <c r="O184" i="2"/>
  <c r="O182" i="2"/>
  <c r="O186" i="2"/>
  <c r="P185" i="2"/>
  <c r="Q188" i="2"/>
  <c r="P188" i="2"/>
  <c r="O188" i="2"/>
  <c r="P187" i="2"/>
  <c r="Q186" i="2"/>
  <c r="Q192" i="2"/>
  <c r="P192" i="2"/>
  <c r="O192" i="2"/>
  <c r="O190" i="2"/>
  <c r="O194" i="2"/>
  <c r="P193" i="2"/>
  <c r="Q196" i="2"/>
  <c r="P196" i="2"/>
  <c r="O196" i="2"/>
  <c r="P195" i="2"/>
  <c r="Q194" i="2"/>
  <c r="U197" i="2"/>
  <c r="Q200" i="2"/>
  <c r="P200" i="2"/>
  <c r="Q199" i="2"/>
  <c r="O200" i="2"/>
  <c r="U201" i="2"/>
  <c r="O128" i="2"/>
  <c r="O136" i="2"/>
  <c r="P143" i="2"/>
  <c r="O144" i="2"/>
  <c r="P151" i="2"/>
  <c r="O152" i="2"/>
  <c r="O158" i="2"/>
  <c r="O159" i="2"/>
  <c r="Q160" i="2"/>
  <c r="K161" i="2"/>
  <c r="Q165" i="2"/>
  <c r="P152" i="2"/>
  <c r="O157" i="2"/>
  <c r="P158" i="2"/>
  <c r="Q159" i="2"/>
  <c r="P164" i="2"/>
  <c r="W167" i="2"/>
  <c r="Q168" i="2"/>
  <c r="P168" i="2"/>
  <c r="O168" i="2"/>
  <c r="U169" i="2"/>
  <c r="J174" i="2"/>
  <c r="I174" i="2"/>
  <c r="J182" i="2"/>
  <c r="I182" i="2"/>
  <c r="K182" i="2" s="1"/>
  <c r="J190" i="2"/>
  <c r="I190" i="2"/>
  <c r="K190" i="2" s="1"/>
  <c r="S204" i="2"/>
  <c r="S205" i="2"/>
  <c r="S208" i="2"/>
  <c r="S209" i="2"/>
  <c r="S212" i="2"/>
  <c r="S213" i="2"/>
  <c r="S216" i="2"/>
  <c r="S217" i="2"/>
  <c r="S220" i="2"/>
  <c r="S221" i="2"/>
  <c r="S224" i="2"/>
  <c r="S225" i="2"/>
  <c r="S228" i="2"/>
  <c r="S229" i="2"/>
  <c r="S232" i="2"/>
  <c r="S233" i="2"/>
  <c r="S236" i="2"/>
  <c r="S237" i="2"/>
  <c r="S240" i="2"/>
  <c r="S241" i="2"/>
  <c r="S244" i="2"/>
  <c r="S245" i="2"/>
  <c r="S248" i="2"/>
  <c r="S249" i="2"/>
  <c r="S252" i="2"/>
  <c r="S253" i="2"/>
  <c r="S256" i="2"/>
  <c r="S257" i="2"/>
  <c r="S260" i="2"/>
  <c r="S261" i="2"/>
  <c r="S264" i="2"/>
  <c r="S265" i="2"/>
  <c r="S268" i="2"/>
  <c r="S269" i="2"/>
  <c r="I128" i="2"/>
  <c r="K128" i="2" s="1"/>
  <c r="Q128" i="2"/>
  <c r="P129" i="2"/>
  <c r="O130" i="2"/>
  <c r="I136" i="2"/>
  <c r="K136" i="2" s="1"/>
  <c r="Q136" i="2"/>
  <c r="P137" i="2"/>
  <c r="O138" i="2"/>
  <c r="I144" i="2"/>
  <c r="K144" i="2" s="1"/>
  <c r="Q144" i="2"/>
  <c r="P145" i="2"/>
  <c r="O146" i="2"/>
  <c r="I152" i="2"/>
  <c r="K152" i="2" s="1"/>
  <c r="Q152" i="2"/>
  <c r="P153" i="2"/>
  <c r="O154" i="2"/>
  <c r="P157" i="2"/>
  <c r="Q163" i="2"/>
  <c r="W163" i="2"/>
  <c r="O164" i="2"/>
  <c r="P170" i="2"/>
  <c r="J171" i="2"/>
  <c r="I171" i="2"/>
  <c r="K171" i="2" s="1"/>
  <c r="J178" i="2"/>
  <c r="I178" i="2"/>
  <c r="J186" i="2"/>
  <c r="I186" i="2"/>
  <c r="K186" i="2" s="1"/>
  <c r="J194" i="2"/>
  <c r="I194" i="2"/>
  <c r="J198" i="2"/>
  <c r="I198" i="2"/>
  <c r="K198" i="2" s="1"/>
  <c r="P199" i="2"/>
  <c r="U203" i="2"/>
  <c r="U207" i="2"/>
  <c r="U211" i="2"/>
  <c r="U215" i="2"/>
  <c r="U219" i="2"/>
  <c r="U223" i="2"/>
  <c r="U227" i="2"/>
  <c r="U231" i="2"/>
  <c r="U235" i="2"/>
  <c r="U239" i="2"/>
  <c r="U243" i="2"/>
  <c r="U247" i="2"/>
  <c r="U251" i="2"/>
  <c r="U255" i="2"/>
  <c r="U259" i="2"/>
  <c r="U263" i="2"/>
  <c r="U267" i="2"/>
  <c r="P156" i="2"/>
  <c r="Q157" i="2"/>
  <c r="J158" i="2"/>
  <c r="K158" i="2" s="1"/>
  <c r="O163" i="2"/>
  <c r="Q164" i="2"/>
  <c r="I165" i="2"/>
  <c r="K165" i="2" s="1"/>
  <c r="Q166" i="2"/>
  <c r="Q167" i="2"/>
  <c r="P167" i="2"/>
  <c r="Q170" i="2"/>
  <c r="K180" i="2"/>
  <c r="K188" i="2"/>
  <c r="K196" i="2"/>
  <c r="Q171" i="2"/>
  <c r="O173" i="2"/>
  <c r="I179" i="2"/>
  <c r="K179" i="2" s="1"/>
  <c r="Q179" i="2"/>
  <c r="O181" i="2"/>
  <c r="I187" i="2"/>
  <c r="K187" i="2" s="1"/>
  <c r="Q187" i="2"/>
  <c r="O189" i="2"/>
  <c r="I195" i="2"/>
  <c r="K195" i="2" s="1"/>
  <c r="Q195" i="2"/>
  <c r="O197" i="2"/>
  <c r="O198" i="2"/>
  <c r="P175" i="2"/>
  <c r="P183" i="2"/>
  <c r="P191" i="2"/>
  <c r="K41" i="5" l="1"/>
  <c r="K49" i="5"/>
  <c r="K57" i="5"/>
  <c r="K57" i="4"/>
  <c r="K103" i="4"/>
  <c r="K188" i="4"/>
  <c r="K152" i="4"/>
  <c r="K111" i="4"/>
  <c r="K148" i="4"/>
  <c r="K128" i="4"/>
  <c r="K41" i="4"/>
  <c r="K68" i="4"/>
  <c r="K156" i="4"/>
  <c r="K172" i="4"/>
  <c r="K180" i="4"/>
  <c r="K141" i="4"/>
  <c r="K82" i="4"/>
  <c r="K88" i="4"/>
  <c r="K19" i="4"/>
  <c r="K80" i="4"/>
  <c r="K27" i="4"/>
  <c r="K162" i="3"/>
  <c r="K91" i="3"/>
  <c r="K178" i="3"/>
  <c r="K135" i="3"/>
  <c r="K99" i="3"/>
  <c r="K35" i="3"/>
  <c r="K50" i="3"/>
  <c r="K155" i="3"/>
  <c r="K194" i="3"/>
  <c r="K186" i="3"/>
  <c r="K170" i="3"/>
  <c r="K147" i="3"/>
  <c r="K139" i="2"/>
  <c r="K112" i="2"/>
  <c r="K194" i="2"/>
  <c r="K125" i="2"/>
  <c r="K133" i="2"/>
  <c r="K147" i="2"/>
  <c r="K174" i="2"/>
  <c r="K157" i="2"/>
  <c r="K178" i="2"/>
  <c r="K120" i="2"/>
</calcChain>
</file>

<file path=xl/sharedStrings.xml><?xml version="1.0" encoding="utf-8"?>
<sst xmlns="http://schemas.openxmlformats.org/spreadsheetml/2006/main" count="453" uniqueCount="269">
  <si>
    <t>Current Price</t>
  </si>
  <si>
    <t>10MA</t>
  </si>
  <si>
    <t>50MA</t>
  </si>
  <si>
    <t>100MA</t>
  </si>
  <si>
    <t>200MA</t>
  </si>
  <si>
    <t>10MA Trend</t>
  </si>
  <si>
    <t>50MA Trend</t>
  </si>
  <si>
    <t>100MA Trend</t>
  </si>
  <si>
    <t>200MA Trend</t>
  </si>
  <si>
    <t>minutes_1</t>
  </si>
  <si>
    <t>2025-04-29T12:50:00+05:30</t>
  </si>
  <si>
    <t>Acutal Open</t>
  </si>
  <si>
    <t>Range High</t>
  </si>
  <si>
    <t>Range Low</t>
  </si>
  <si>
    <t>Range</t>
  </si>
  <si>
    <t>Gap Up/Down</t>
  </si>
  <si>
    <t>Trend</t>
  </si>
  <si>
    <t>Trend Strength</t>
  </si>
  <si>
    <t>5 Candle Strength</t>
  </si>
  <si>
    <t>10 Candle Strength</t>
  </si>
  <si>
    <t>50 Candle Strength</t>
  </si>
  <si>
    <t>10 MA</t>
  </si>
  <si>
    <t>10 MA Trend</t>
  </si>
  <si>
    <t>50 MA</t>
  </si>
  <si>
    <t>50 MA Trend</t>
  </si>
  <si>
    <t>100 MA</t>
  </si>
  <si>
    <t>100 MA Trend</t>
  </si>
  <si>
    <t>200 MA</t>
  </si>
  <si>
    <t>200 MA Trend</t>
  </si>
  <si>
    <t>2025-04-29T12:45:00+05:30</t>
  </si>
  <si>
    <t>2025-04-29T12:40:00+05:30</t>
  </si>
  <si>
    <t>2025-04-29T12:35:00+05:30</t>
  </si>
  <si>
    <t>2025-04-29T12:30:00+05:30</t>
  </si>
  <si>
    <t>2025-04-29T12:25:00+05:30</t>
  </si>
  <si>
    <t>2025-04-29T12:20:00+05:30</t>
  </si>
  <si>
    <t>2025-04-29T12:15:00+05:30</t>
  </si>
  <si>
    <t>2025-04-29T12:10:00+05:30</t>
  </si>
  <si>
    <t>2025-04-29T12:05:00+05:30</t>
  </si>
  <si>
    <t>2025-04-29T12:00:00+05:30</t>
  </si>
  <si>
    <t>2025-04-29T11:55:00+05:30</t>
  </si>
  <si>
    <t>2025-04-29T11:50:00+05:30</t>
  </si>
  <si>
    <t>2025-04-29T11:45:00+05:30</t>
  </si>
  <si>
    <t>2025-04-29T11:40:00+05:30</t>
  </si>
  <si>
    <t>2025-04-29T11:35:00+05:30</t>
  </si>
  <si>
    <t>2025-04-29T11:30:00+05:30</t>
  </si>
  <si>
    <t>2025-04-29T11:25:00+05:30</t>
  </si>
  <si>
    <t>2025-04-29T11:20:00+05:30</t>
  </si>
  <si>
    <t>2025-04-29T11:15:00+05:30</t>
  </si>
  <si>
    <t>2025-04-29T11:10:00+05:30</t>
  </si>
  <si>
    <t>2025-04-29T11:05:00+05:30</t>
  </si>
  <si>
    <t>2025-04-29T11:00:00+05:30</t>
  </si>
  <si>
    <t>2025-04-29T10:55:00+05:30</t>
  </si>
  <si>
    <t>2025-04-29T10:50:00+05:30</t>
  </si>
  <si>
    <t>2025-04-29T10:45:00+05:30</t>
  </si>
  <si>
    <t>2025-04-29T10:40:00+05:30</t>
  </si>
  <si>
    <t>2025-04-29T10:35:00+05:30</t>
  </si>
  <si>
    <t>2025-04-29T10:30:00+05:30</t>
  </si>
  <si>
    <t>2025-04-29T10:25:00+05:30</t>
  </si>
  <si>
    <t>2025-04-29T10:20:00+05:30</t>
  </si>
  <si>
    <t>2025-04-29T10:15:00+05:30</t>
  </si>
  <si>
    <t>2025-04-29T10:10:00+05:30</t>
  </si>
  <si>
    <t>2025-04-29T10:05:00+05:30</t>
  </si>
  <si>
    <t>2025-04-29T10:00:00+05:30</t>
  </si>
  <si>
    <t>2025-04-29T09:55:00+05:30</t>
  </si>
  <si>
    <t>2025-04-29T09:50:00+05:30</t>
  </si>
  <si>
    <t>2025-04-29T09:45:00+05:30</t>
  </si>
  <si>
    <t>2025-04-29T09:40:00+05:30</t>
  </si>
  <si>
    <t>2025-04-29T09:35:00+05:30</t>
  </si>
  <si>
    <t>2025-04-29T09:30:00+05:30</t>
  </si>
  <si>
    <t>2025-04-29T09:25:00+05:30</t>
  </si>
  <si>
    <t>2025-04-29T09:20:00+05:30</t>
  </si>
  <si>
    <t>2025-04-29T09:15:00+05:30</t>
  </si>
  <si>
    <t>2025-04-29T13:12:00+05:30</t>
  </si>
  <si>
    <t>2025-04-29T13:11:00+05:30</t>
  </si>
  <si>
    <t>2025-04-29T13:10:00+05:30</t>
  </si>
  <si>
    <t>2025-04-29T13:09:00+05:30</t>
  </si>
  <si>
    <t>2025-04-29T13:08:00+05:30</t>
  </si>
  <si>
    <t>2025-04-29T13:07:00+05:30</t>
  </si>
  <si>
    <t>2025-04-29T13:06:00+05:30</t>
  </si>
  <si>
    <t>2025-04-29T13:05:00+05:30</t>
  </si>
  <si>
    <t>2025-04-29T13:04:00+05:30</t>
  </si>
  <si>
    <t>2025-04-29T13:03:00+05:30</t>
  </si>
  <si>
    <t>2025-04-29T13:02:00+05:30</t>
  </si>
  <si>
    <t>2025-04-29T13:01:00+05:30</t>
  </si>
  <si>
    <t>2025-04-29T13:00:00+05:30</t>
  </si>
  <si>
    <t>2025-04-29T12:59:00+05:30</t>
  </si>
  <si>
    <t>2025-04-29T12:58:00+05:30</t>
  </si>
  <si>
    <t>2025-04-29T12:57:00+05:30</t>
  </si>
  <si>
    <t>2025-04-29T12:56:00+05:30</t>
  </si>
  <si>
    <t>2025-04-29T12:55:00+05:30</t>
  </si>
  <si>
    <t>2025-04-29T12:54:00+05:30</t>
  </si>
  <si>
    <t>2025-04-29T12:53:00+05:30</t>
  </si>
  <si>
    <t>2025-04-29T12:52:00+05:30</t>
  </si>
  <si>
    <t>2025-04-29T12:51:00+05:30</t>
  </si>
  <si>
    <t>2025-04-29T12:49:00+05:30</t>
  </si>
  <si>
    <t>2025-04-29T12:48:00+05:30</t>
  </si>
  <si>
    <t>2025-04-29T12:47:00+05:30</t>
  </si>
  <si>
    <t>2025-04-29T12:46:00+05:30</t>
  </si>
  <si>
    <t>2025-04-29T12:44:00+05:30</t>
  </si>
  <si>
    <t>2025-04-29T12:43:00+05:30</t>
  </si>
  <si>
    <t>2025-04-29T12:42:00+05:30</t>
  </si>
  <si>
    <t>2025-04-29T12:41:00+05:30</t>
  </si>
  <si>
    <t>2025-04-29T12:39:00+05:30</t>
  </si>
  <si>
    <t>2025-04-29T12:38:00+05:30</t>
  </si>
  <si>
    <t>2025-04-29T12:37:00+05:30</t>
  </si>
  <si>
    <t>2025-04-29T12:36:00+05:30</t>
  </si>
  <si>
    <t>2025-04-29T12:34:00+05:30</t>
  </si>
  <si>
    <t>2025-04-29T12:33:00+05:30</t>
  </si>
  <si>
    <t>2025-04-29T12:32:00+05:30</t>
  </si>
  <si>
    <t>2025-04-29T12:31:00+05:30</t>
  </si>
  <si>
    <t>2025-04-29T12:29:00+05:30</t>
  </si>
  <si>
    <t>2025-04-29T12:28:00+05:30</t>
  </si>
  <si>
    <t>2025-04-29T12:27:00+05:30</t>
  </si>
  <si>
    <t>2025-04-29T12:26:00+05:30</t>
  </si>
  <si>
    <t>2025-04-29T12:24:00+05:30</t>
  </si>
  <si>
    <t>2025-04-29T12:23:00+05:30</t>
  </si>
  <si>
    <t>2025-04-29T12:22:00+05:30</t>
  </si>
  <si>
    <t>2025-04-29T12:21:00+05:30</t>
  </si>
  <si>
    <t>2025-04-29T12:19:00+05:30</t>
  </si>
  <si>
    <t>2025-04-29T12:18:00+05:30</t>
  </si>
  <si>
    <t>2025-04-29T12:17:00+05:30</t>
  </si>
  <si>
    <t>2025-04-29T12:16:00+05:30</t>
  </si>
  <si>
    <t>2025-04-29T12:14:00+05:30</t>
  </si>
  <si>
    <t>2025-04-29T12:13:00+05:30</t>
  </si>
  <si>
    <t>2025-04-29T12:12:00+05:30</t>
  </si>
  <si>
    <t>2025-04-29T12:11:00+05:30</t>
  </si>
  <si>
    <t>2025-04-29T12:09:00+05:30</t>
  </si>
  <si>
    <t>2025-04-29T12:08:00+05:30</t>
  </si>
  <si>
    <t>2025-04-29T12:07:00+05:30</t>
  </si>
  <si>
    <t>2025-04-29T12:06:00+05:30</t>
  </si>
  <si>
    <t>2025-04-29T12:04:00+05:30</t>
  </si>
  <si>
    <t>2025-04-29T12:03:00+05:30</t>
  </si>
  <si>
    <t>2025-04-29T12:02:00+05:30</t>
  </si>
  <si>
    <t>2025-04-29T12:01:00+05:30</t>
  </si>
  <si>
    <t>2025-04-29T11:59:00+05:30</t>
  </si>
  <si>
    <t>2025-04-29T11:58:00+05:30</t>
  </si>
  <si>
    <t>2025-04-29T11:57:00+05:30</t>
  </si>
  <si>
    <t>2025-04-29T11:56:00+05:30</t>
  </si>
  <si>
    <t>2025-04-29T11:54:00+05:30</t>
  </si>
  <si>
    <t>2025-04-29T11:53:00+05:30</t>
  </si>
  <si>
    <t>2025-04-29T11:52:00+05:30</t>
  </si>
  <si>
    <t>2025-04-29T11:51:00+05:30</t>
  </si>
  <si>
    <t>2025-04-29T11:49:00+05:30</t>
  </si>
  <si>
    <t>2025-04-29T11:48:00+05:30</t>
  </si>
  <si>
    <t>2025-04-29T11:47:00+05:30</t>
  </si>
  <si>
    <t>2025-04-29T11:46:00+05:30</t>
  </si>
  <si>
    <t>2025-04-29T11:44:00+05:30</t>
  </si>
  <si>
    <t>2025-04-29T11:43:00+05:30</t>
  </si>
  <si>
    <t>2025-04-29T11:42:00+05:30</t>
  </si>
  <si>
    <t>2025-04-29T11:41:00+05:30</t>
  </si>
  <si>
    <t>2025-04-29T11:39:00+05:30</t>
  </si>
  <si>
    <t>2025-04-29T11:38:00+05:30</t>
  </si>
  <si>
    <t>2025-04-29T11:37:00+05:30</t>
  </si>
  <si>
    <t>2025-04-29T11:36:00+05:30</t>
  </si>
  <si>
    <t>2025-04-29T11:34:00+05:30</t>
  </si>
  <si>
    <t>2025-04-29T11:33:00+05:30</t>
  </si>
  <si>
    <t>2025-04-29T11:32:00+05:30</t>
  </si>
  <si>
    <t>2025-04-29T11:31:00+05:30</t>
  </si>
  <si>
    <t>2025-04-29T11:29:00+05:30</t>
  </si>
  <si>
    <t>2025-04-29T11:28:00+05:30</t>
  </si>
  <si>
    <t>2025-04-29T11:27:00+05:30</t>
  </si>
  <si>
    <t>2025-04-29T11:26:00+05:30</t>
  </si>
  <si>
    <t>2025-04-29T11:24:00+05:30</t>
  </si>
  <si>
    <t>2025-04-29T11:23:00+05:30</t>
  </si>
  <si>
    <t>2025-04-29T11:22:00+05:30</t>
  </si>
  <si>
    <t>2025-04-29T11:21:00+05:30</t>
  </si>
  <si>
    <t>2025-04-29T11:19:00+05:30</t>
  </si>
  <si>
    <t>2025-04-29T11:18:00+05:30</t>
  </si>
  <si>
    <t>2025-04-29T11:17:00+05:30</t>
  </si>
  <si>
    <t>2025-04-29T11:16:00+05:30</t>
  </si>
  <si>
    <t>2025-04-29T11:14:00+05:30</t>
  </si>
  <si>
    <t>2025-04-29T11:13:00+05:30</t>
  </si>
  <si>
    <t>2025-04-29T11:12:00+05:30</t>
  </si>
  <si>
    <t>2025-04-29T11:11:00+05:30</t>
  </si>
  <si>
    <t>2025-04-29T11:09:00+05:30</t>
  </si>
  <si>
    <t>2025-04-29T11:08:00+05:30</t>
  </si>
  <si>
    <t>2025-04-29T11:07:00+05:30</t>
  </si>
  <si>
    <t>2025-04-29T11:06:00+05:30</t>
  </si>
  <si>
    <t>2025-04-29T11:04:00+05:30</t>
  </si>
  <si>
    <t>2025-04-29T11:03:00+05:30</t>
  </si>
  <si>
    <t>2025-04-29T11:02:00+05:30</t>
  </si>
  <si>
    <t>2025-04-29T11:01:00+05:30</t>
  </si>
  <si>
    <t>2025-04-29T10:59:00+05:30</t>
  </si>
  <si>
    <t>2025-04-29T10:58:00+05:30</t>
  </si>
  <si>
    <t>2025-04-29T10:57:00+05:30</t>
  </si>
  <si>
    <t>2025-04-29T10:56:00+05:30</t>
  </si>
  <si>
    <t>2025-04-29T10:54:00+05:30</t>
  </si>
  <si>
    <t>2025-04-29T10:53:00+05:30</t>
  </si>
  <si>
    <t>2025-04-29T10:52:00+05:30</t>
  </si>
  <si>
    <t>2025-04-29T10:51:00+05:30</t>
  </si>
  <si>
    <t>2025-04-29T10:49:00+05:30</t>
  </si>
  <si>
    <t>2025-04-29T10:48:00+05:30</t>
  </si>
  <si>
    <t>2025-04-29T10:47:00+05:30</t>
  </si>
  <si>
    <t>2025-04-29T10:46:00+05:30</t>
  </si>
  <si>
    <t>2025-04-29T10:44:00+05:30</t>
  </si>
  <si>
    <t>2025-04-29T10:43:00+05:30</t>
  </si>
  <si>
    <t>2025-04-29T10:42:00+05:30</t>
  </si>
  <si>
    <t>2025-04-29T10:41:00+05:30</t>
  </si>
  <si>
    <t>2025-04-29T10:39:00+05:30</t>
  </si>
  <si>
    <t>2025-04-29T10:38:00+05:30</t>
  </si>
  <si>
    <t>2025-04-29T10:37:00+05:30</t>
  </si>
  <si>
    <t>2025-04-29T10:36:00+05:30</t>
  </si>
  <si>
    <t>2025-04-29T10:34:00+05:30</t>
  </si>
  <si>
    <t>2025-04-29T10:33:00+05:30</t>
  </si>
  <si>
    <t>2025-04-29T10:32:00+05:30</t>
  </si>
  <si>
    <t>2025-04-29T10:31:00+05:30</t>
  </si>
  <si>
    <t>2025-04-29T10:29:00+05:30</t>
  </si>
  <si>
    <t>2025-04-29T10:28:00+05:30</t>
  </si>
  <si>
    <t>2025-04-29T10:27:00+05:30</t>
  </si>
  <si>
    <t>2025-04-29T10:26:00+05:30</t>
  </si>
  <si>
    <t>2025-04-29T10:24:00+05:30</t>
  </si>
  <si>
    <t>2025-04-29T10:23:00+05:30</t>
  </si>
  <si>
    <t>2025-04-29T10:22:00+05:30</t>
  </si>
  <si>
    <t>2025-04-29T10:21:00+05:30</t>
  </si>
  <si>
    <t>2025-04-29T10:19:00+05:30</t>
  </si>
  <si>
    <t>2025-04-29T10:18:00+05:30</t>
  </si>
  <si>
    <t>2025-04-29T10:17:00+05:30</t>
  </si>
  <si>
    <t>2025-04-29T10:16:00+05:30</t>
  </si>
  <si>
    <t>2025-04-29T10:14:00+05:30</t>
  </si>
  <si>
    <t>2025-04-29T10:13:00+05:30</t>
  </si>
  <si>
    <t>2025-04-29T10:12:00+05:30</t>
  </si>
  <si>
    <t>2025-04-29T10:11:00+05:30</t>
  </si>
  <si>
    <t>2025-04-29T10:09:00+05:30</t>
  </si>
  <si>
    <t>2025-04-29T10:08:00+05:30</t>
  </si>
  <si>
    <t>2025-04-29T10:07:00+05:30</t>
  </si>
  <si>
    <t>2025-04-29T10:06:00+05:30</t>
  </si>
  <si>
    <t>2025-04-29T10:04:00+05:30</t>
  </si>
  <si>
    <t>2025-04-29T10:03:00+05:30</t>
  </si>
  <si>
    <t>2025-04-29T10:02:00+05:30</t>
  </si>
  <si>
    <t>2025-04-29T10:01:00+05:30</t>
  </si>
  <si>
    <t>2025-04-29T09:59:00+05:30</t>
  </si>
  <si>
    <t>2025-04-29T09:58:00+05:30</t>
  </si>
  <si>
    <t>2025-04-29T09:57:00+05:30</t>
  </si>
  <si>
    <t>2025-04-29T09:56:00+05:30</t>
  </si>
  <si>
    <t>2025-04-29T09:54:00+05:30</t>
  </si>
  <si>
    <t>2025-04-29T09:53:00+05:30</t>
  </si>
  <si>
    <t>2025-04-29T09:52:00+05:30</t>
  </si>
  <si>
    <t>2025-04-29T09:51:00+05:30</t>
  </si>
  <si>
    <t>2025-04-29T09:49:00+05:30</t>
  </si>
  <si>
    <t>2025-04-29T09:48:00+05:30</t>
  </si>
  <si>
    <t>2025-04-29T09:47:00+05:30</t>
  </si>
  <si>
    <t>2025-04-29T09:46:00+05:30</t>
  </si>
  <si>
    <t>2025-04-29T09:44:00+05:30</t>
  </si>
  <si>
    <t>2025-04-29T09:43:00+05:30</t>
  </si>
  <si>
    <t>2025-04-29T09:42:00+05:30</t>
  </si>
  <si>
    <t>2025-04-29T09:41:00+05:30</t>
  </si>
  <si>
    <t>2025-04-29T09:39:00+05:30</t>
  </si>
  <si>
    <t>2025-04-29T09:38:00+05:30</t>
  </si>
  <si>
    <t>2025-04-29T09:37:00+05:30</t>
  </si>
  <si>
    <t>2025-04-29T09:36:00+05:30</t>
  </si>
  <si>
    <t>2025-04-29T09:34:00+05:30</t>
  </si>
  <si>
    <t>2025-04-29T09:33:00+05:30</t>
  </si>
  <si>
    <t>2025-04-29T09:32:00+05:30</t>
  </si>
  <si>
    <t>2025-04-29T09:31:00+05:30</t>
  </si>
  <si>
    <t>2025-04-29T09:29:00+05:30</t>
  </si>
  <si>
    <t>2025-04-29T09:28:00+05:30</t>
  </si>
  <si>
    <t>2025-04-29T09:27:00+05:30</t>
  </si>
  <si>
    <t>2025-04-29T09:26:00+05:30</t>
  </si>
  <si>
    <t>2025-04-29T09:24:00+05:30</t>
  </si>
  <si>
    <t>2025-04-29T09:23:00+05:30</t>
  </si>
  <si>
    <t>2025-04-29T09:22:00+05:30</t>
  </si>
  <si>
    <t>2025-04-29T09:21:00+05:30</t>
  </si>
  <si>
    <t>2025-04-29T09:19:00+05:30</t>
  </si>
  <si>
    <t>2025-04-29T09:18:00+05:30</t>
  </si>
  <si>
    <t>2025-04-29T09:17:00+05:30</t>
  </si>
  <si>
    <t>2025-04-29T09:16:00+05:30</t>
  </si>
  <si>
    <t>minutes_5</t>
  </si>
  <si>
    <t>minutes_15</t>
  </si>
  <si>
    <t>hours_1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</si>
</sst>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"/>
  <sheetViews>
    <sheetView tabSelected="1" workbookViewId="0">
      <selection activeCell="N15" sqref="N15"/>
    </sheetView>
  </sheetViews>
  <sheetFormatPr defaultRowHeight="14.4" x14ac:dyDescent="0.3"/>
  <cols>
    <col min="2" max="2" width="10.44140625" bestFit="1" customWidth="1"/>
    <col min="3" max="3" width="11.5546875" bestFit="1" customWidth="1"/>
    <col min="4" max="4" width="8" bestFit="1" customWidth="1"/>
    <col min="5" max="7" width="9" bestFit="1" customWidth="1"/>
    <col min="8" max="9" width="10.88671875" bestFit="1" customWidth="1"/>
    <col min="10" max="11" width="11.88671875" bestFit="1" customWidth="1"/>
  </cols>
  <sheetData>
    <row r="1" spans="2:11" x14ac:dyDescent="0.3"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2:11" x14ac:dyDescent="0.3">
      <c r="C2">
        <v>0</v>
      </c>
      <c r="D2">
        <v>13</v>
      </c>
      <c r="E2">
        <v>15</v>
      </c>
      <c r="F2">
        <v>17</v>
      </c>
      <c r="G2">
        <v>19</v>
      </c>
      <c r="H2">
        <v>14</v>
      </c>
      <c r="I2">
        <v>16</v>
      </c>
      <c r="J2">
        <v>18</v>
      </c>
      <c r="K2">
        <v>20</v>
      </c>
    </row>
    <row r="5" spans="2:11" x14ac:dyDescent="0.3"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</row>
    <row r="6" spans="2:11" x14ac:dyDescent="0.3">
      <c r="B6" t="s">
        <v>9</v>
      </c>
      <c r="C6">
        <f t="array" aca="1" ref="C6" ca="1">OFFSET(INDIRECT($B6&amp;"!$E2"),C$1,C$2)</f>
        <v>1499.7</v>
      </c>
      <c r="D6">
        <f t="array" aca="1" ref="D6" ca="1">OFFSET(INDIRECT($B6&amp;"!$E2"),D$1,D$2)</f>
        <v>1498.5</v>
      </c>
      <c r="E6">
        <f t="array" aca="1" ref="E6" ca="1">OFFSET(INDIRECT($B6&amp;"!$E2"),E$1,E$2)</f>
        <v>1491.69</v>
      </c>
      <c r="F6">
        <f t="array" aca="1" ref="F6" ca="1">OFFSET(INDIRECT($B6&amp;"!$E2"),F$1,F$2)</f>
        <v>1485.8649999999998</v>
      </c>
      <c r="G6">
        <f t="array" aca="1" ref="G6" ca="1">OFFSET(INDIRECT($B6&amp;"!$E2"),G$1,G$2)</f>
        <v>1482.2549999999997</v>
      </c>
      <c r="H6">
        <f t="array" aca="1" ref="H6" ca="1">OFFSET(INDIRECT($B6&amp;"!$E2"),H$1,H$2)</f>
        <v>0.36000000000012733</v>
      </c>
      <c r="I6">
        <f t="array" aca="1" ref="I6" ca="1">OFFSET(INDIRECT($B6&amp;"!$E2"),I$1,I$2)</f>
        <v>0.38199999999983447</v>
      </c>
      <c r="J6">
        <f t="array" aca="1" ref="J6" ca="1">OFFSET(INDIRECT($B6&amp;"!$E2"),J$1,J$2)</f>
        <v>0.18699999999989814</v>
      </c>
      <c r="K6">
        <f t="array" aca="1" ref="K6" ca="1">OFFSET(INDIRECT($B6&amp;"!$E2"),K$1,K$2)</f>
        <v>0.11299999999982901</v>
      </c>
    </row>
    <row r="7" spans="2:11" x14ac:dyDescent="0.3">
      <c r="B7" t="s">
        <v>266</v>
      </c>
      <c r="C7">
        <f t="array" aca="1" ref="C7" ca="1">OFFSET(INDIRECT($B7&amp;"!$E2"),C$1,C$2)</f>
        <v>1499.3</v>
      </c>
      <c r="D7">
        <f t="array" aca="1" ref="D7" ca="1">OFFSET(INDIRECT($B7&amp;"!$E2"),D$1,D$2)</f>
        <v>1491.6</v>
      </c>
      <c r="E7">
        <f t="array" aca="1" ref="E7" ca="1">OFFSET(INDIRECT($B7&amp;"!$E2"),E$1,E$2)</f>
        <v>1393.1559999999999</v>
      </c>
      <c r="F7">
        <f t="array" aca="1" ref="F7" ca="1">OFFSET(INDIRECT($B7&amp;"!$E2"),F$1,F$2)</f>
        <v>696.57799999999997</v>
      </c>
      <c r="G7">
        <f t="array" aca="1" ref="G7" ca="1">OFFSET(INDIRECT($B7&amp;"!$E2"),G$1,G$2)</f>
        <v>348.28899999999999</v>
      </c>
      <c r="H7">
        <f t="array" aca="1" ref="H7" ca="1">OFFSET(INDIRECT($B7&amp;"!$E2"),H$1,H$2)</f>
        <v>1.8000000000001819</v>
      </c>
      <c r="I7">
        <f t="array" aca="1" ref="I7" ca="1">OFFSET(INDIRECT($B7&amp;"!$E2"),I$1,I$2)</f>
        <v>29.986000000000331</v>
      </c>
      <c r="J7">
        <f t="array" aca="1" ref="J7" ca="1">OFFSET(INDIRECT($B7&amp;"!$E2"),J$1,J$2)</f>
        <v>14.993000000000166</v>
      </c>
      <c r="K7">
        <f t="array" aca="1" ref="K7" ca="1">OFFSET(INDIRECT($B7&amp;"!$E2"),K$1,K$2)</f>
        <v>7.4965000000000828</v>
      </c>
    </row>
    <row r="8" spans="2:11" x14ac:dyDescent="0.3">
      <c r="B8" t="s">
        <v>267</v>
      </c>
      <c r="C8">
        <f t="array" aca="1" ref="C8" ca="1">OFFSET(INDIRECT($B8&amp;"!$E2"),C$1,C$2)</f>
        <v>1497.5</v>
      </c>
      <c r="D8">
        <f t="array" aca="1" ref="D8" ca="1">OFFSET(INDIRECT($B8&amp;"!$E2"),D$1,D$2)</f>
        <v>1483.0899999999997</v>
      </c>
      <c r="E8">
        <f t="array" aca="1" ref="E8" ca="1">OFFSET(INDIRECT($B8&amp;"!$E2"),E$1,E$2)</f>
        <v>444.49799999999988</v>
      </c>
      <c r="F8">
        <f t="array" aca="1" ref="F8" ca="1">OFFSET(INDIRECT($B8&amp;"!$E2"),F$1,F$2)</f>
        <v>222.24899999999994</v>
      </c>
      <c r="G8">
        <f t="array" aca="1" ref="G8" ca="1">OFFSET(INDIRECT($B8&amp;"!$E2"),G$1,G$2)</f>
        <v>111.12449999999997</v>
      </c>
      <c r="H8">
        <f t="array" aca="1" ref="H8" ca="1">OFFSET(INDIRECT($B8&amp;"!$E2"),H$1,H$2)</f>
        <v>2.2599999999999909</v>
      </c>
      <c r="I8">
        <f t="array" aca="1" ref="I8" ca="1">OFFSET(INDIRECT($B8&amp;"!$E2"),I$1,I$2)</f>
        <v>29.949999999999989</v>
      </c>
      <c r="J8">
        <f t="array" aca="1" ref="J8" ca="1">OFFSET(INDIRECT($B8&amp;"!$E2"),J$1,J$2)</f>
        <v>14.974999999999994</v>
      </c>
      <c r="K8">
        <f t="array" aca="1" ref="K8" ca="1">OFFSET(INDIRECT($B8&amp;"!$E2"),K$1,K$2)</f>
        <v>7.4874999999999972</v>
      </c>
    </row>
    <row r="9" spans="2:11" x14ac:dyDescent="0.3">
      <c r="B9" t="s">
        <v>268</v>
      </c>
      <c r="C9">
        <f t="array" aca="1" ref="C9" ca="1">OFFSET(INDIRECT($B9&amp;"!$E2"),C$1,C$2)</f>
        <v>1480.6</v>
      </c>
      <c r="D9">
        <f t="array" aca="1" ref="D9" ca="1">OFFSET(INDIRECT($B9&amp;"!$E2"),D$1,D$2)</f>
        <v>444.18999999999994</v>
      </c>
      <c r="E9">
        <f t="array" aca="1" ref="E9" ca="1">OFFSET(INDIRECT($B9&amp;"!$E2"),E$1,E$2)</f>
        <v>88.837999999999994</v>
      </c>
      <c r="F9">
        <f t="array" aca="1" ref="F9" ca="1">OFFSET(INDIRECT($B9&amp;"!$E2"),F$1,F$2)</f>
        <v>44.418999999999997</v>
      </c>
      <c r="G9">
        <f t="array" aca="1" ref="G9" ca="1">OFFSET(INDIRECT($B9&amp;"!$E2"),G$1,G$2)</f>
        <v>22.209499999999998</v>
      </c>
      <c r="H9">
        <f t="array" aca="1" ref="H9" ca="1">OFFSET(INDIRECT($B9&amp;"!$E2"),H$1,H$2)</f>
        <v>148.05999999999995</v>
      </c>
      <c r="I9">
        <f t="array" aca="1" ref="I9" ca="1">OFFSET(INDIRECT($B9&amp;"!$E2"),I$1,I$2)</f>
        <v>29.611999999999988</v>
      </c>
      <c r="J9">
        <f t="array" aca="1" ref="J9" ca="1">OFFSET(INDIRECT($B9&amp;"!$E2"),J$1,J$2)</f>
        <v>14.805999999999994</v>
      </c>
      <c r="K9">
        <f t="array" aca="1" ref="K9" ca="1">OFFSET(INDIRECT($B9&amp;"!$E2"),K$1,K$2)</f>
        <v>7.4029999999999969</v>
      </c>
    </row>
  </sheetData>
  <conditionalFormatting sqref="H6:K26">
    <cfRule type="cellIs" dxfId="2" priority="2" operator="lessThan">
      <formula>0</formula>
    </cfRule>
  </conditionalFormatting>
  <conditionalFormatting sqref="H6:K9">
    <cfRule type="cellIs" dxfId="0" priority="1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9"/>
  <sheetViews>
    <sheetView topLeftCell="E1" workbookViewId="0">
      <selection activeCell="H1" sqref="H1:Y1048576"/>
    </sheetView>
  </sheetViews>
  <sheetFormatPr defaultRowHeight="14.4" x14ac:dyDescent="0.3"/>
  <cols>
    <col min="1" max="1" width="24.33203125" bestFit="1" customWidth="1"/>
    <col min="8" max="8" width="10.88671875" bestFit="1" customWidth="1"/>
    <col min="10" max="10" width="9.88671875" bestFit="1" customWidth="1"/>
    <col min="14" max="14" width="12.109375" customWidth="1"/>
    <col min="23" max="23" width="11.88671875" customWidth="1"/>
  </cols>
  <sheetData>
    <row r="1" spans="1:25" x14ac:dyDescent="0.3">
      <c r="A1" t="s">
        <v>10</v>
      </c>
      <c r="B1">
        <v>1494.3</v>
      </c>
      <c r="C1">
        <v>1498.1</v>
      </c>
      <c r="D1">
        <v>1494</v>
      </c>
      <c r="E1">
        <v>1497.5</v>
      </c>
      <c r="F1">
        <v>131574</v>
      </c>
      <c r="G1">
        <v>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</row>
    <row r="2" spans="1:25" x14ac:dyDescent="0.3">
      <c r="A2" t="s">
        <v>29</v>
      </c>
      <c r="B2">
        <v>1492.9</v>
      </c>
      <c r="C2">
        <v>1494.4</v>
      </c>
      <c r="D2">
        <v>1492.3</v>
      </c>
      <c r="E2">
        <v>1494.3</v>
      </c>
      <c r="F2">
        <v>66173</v>
      </c>
      <c r="G2">
        <v>0</v>
      </c>
      <c r="H2">
        <f t="shared" ref="H2:H33" si="0">E3</f>
        <v>1493.1</v>
      </c>
      <c r="I2">
        <f t="shared" ref="I2:I33" si="1">MAX(C2,H2)</f>
        <v>1494.4</v>
      </c>
      <c r="J2">
        <f t="shared" ref="J2:J33" si="2">MIN(D2,H2)</f>
        <v>1492.3</v>
      </c>
      <c r="K2">
        <f t="shared" ref="K2:K33" si="3">I2-J2</f>
        <v>2.1000000000001364</v>
      </c>
      <c r="L2">
        <f t="shared" ref="L2:L33" si="4">B2-E3</f>
        <v>-0.1999999999998181</v>
      </c>
      <c r="M2" t="str">
        <f t="shared" ref="M2:M33" si="5">IF(E2&gt;E3,"UP","DOWN")</f>
        <v>UP</v>
      </c>
      <c r="N2">
        <f t="shared" ref="N2:N33" si="6">E2-E3</f>
        <v>1.2000000000000455</v>
      </c>
      <c r="O2">
        <f t="shared" ref="O2:O65" si="7">SUM(N2:N6)</f>
        <v>14</v>
      </c>
      <c r="P2">
        <f t="shared" ref="P2:P65" si="8">SUM(N2:N11)</f>
        <v>14.399999999999864</v>
      </c>
      <c r="Q2">
        <f t="shared" ref="Q2:Q33" si="9">SUM(N2:N51)</f>
        <v>1494.3</v>
      </c>
      <c r="R2">
        <f t="shared" ref="R2:R65" si="10">SUM(E2:E11)/10</f>
        <v>1484.5499999999997</v>
      </c>
      <c r="S2">
        <f t="shared" ref="S2:S65" si="11">R2-R3</f>
        <v>1.4399999999995998</v>
      </c>
      <c r="T2">
        <f t="shared" ref="T2:T65" si="12">SUM(E2:E51)/50</f>
        <v>1273.308</v>
      </c>
      <c r="U2">
        <f t="shared" ref="U2:U65" si="13">T2-T3</f>
        <v>29.885999999999967</v>
      </c>
      <c r="V2">
        <f t="shared" ref="V2:V33" si="14">SUM(E2:E101)/100</f>
        <v>636.654</v>
      </c>
      <c r="W2">
        <f t="shared" ref="W2:W33" si="15">V2-V3</f>
        <v>14.942999999999984</v>
      </c>
      <c r="X2">
        <f t="shared" ref="X2:X33" si="16">SUM(E2:E201)/200</f>
        <v>318.327</v>
      </c>
      <c r="Y2">
        <f t="shared" ref="Y2:Y39" si="17">X2-X3</f>
        <v>7.4714999999999918</v>
      </c>
    </row>
    <row r="3" spans="1:25" x14ac:dyDescent="0.3">
      <c r="A3" t="s">
        <v>30</v>
      </c>
      <c r="B3">
        <v>1490.8</v>
      </c>
      <c r="C3">
        <v>1495.6</v>
      </c>
      <c r="D3">
        <v>1490.2</v>
      </c>
      <c r="E3">
        <v>1493.1</v>
      </c>
      <c r="F3">
        <v>89983</v>
      </c>
      <c r="G3">
        <v>0</v>
      </c>
      <c r="H3">
        <f t="shared" si="0"/>
        <v>1490.9</v>
      </c>
      <c r="I3">
        <f t="shared" si="1"/>
        <v>1495.6</v>
      </c>
      <c r="J3">
        <f t="shared" si="2"/>
        <v>1490.2</v>
      </c>
      <c r="K3">
        <f t="shared" si="3"/>
        <v>5.3999999999998636</v>
      </c>
      <c r="L3">
        <f t="shared" si="4"/>
        <v>-0.10000000000013642</v>
      </c>
      <c r="M3" t="str">
        <f t="shared" si="5"/>
        <v>UP</v>
      </c>
      <c r="N3">
        <f t="shared" si="6"/>
        <v>2.1999999999998181</v>
      </c>
      <c r="O3">
        <f t="shared" si="7"/>
        <v>11.799999999999955</v>
      </c>
      <c r="P3">
        <f t="shared" si="8"/>
        <v>14.799999999999955</v>
      </c>
      <c r="Q3">
        <f t="shared" si="9"/>
        <v>1493.1</v>
      </c>
      <c r="R3">
        <f t="shared" si="10"/>
        <v>1483.1100000000001</v>
      </c>
      <c r="S3">
        <f t="shared" si="11"/>
        <v>1.4800000000002456</v>
      </c>
      <c r="T3">
        <f t="shared" si="12"/>
        <v>1243.422</v>
      </c>
      <c r="U3">
        <f t="shared" si="13"/>
        <v>29.86200000000008</v>
      </c>
      <c r="V3">
        <f t="shared" si="14"/>
        <v>621.71100000000001</v>
      </c>
      <c r="W3">
        <f t="shared" si="15"/>
        <v>14.93100000000004</v>
      </c>
      <c r="X3">
        <f t="shared" si="16"/>
        <v>310.85550000000001</v>
      </c>
      <c r="Y3">
        <f t="shared" si="17"/>
        <v>7.46550000000002</v>
      </c>
    </row>
    <row r="4" spans="1:25" x14ac:dyDescent="0.3">
      <c r="A4" t="s">
        <v>31</v>
      </c>
      <c r="B4">
        <v>1483.9</v>
      </c>
      <c r="C4">
        <v>1492</v>
      </c>
      <c r="D4">
        <v>1482.9</v>
      </c>
      <c r="E4">
        <v>1490.9</v>
      </c>
      <c r="F4">
        <v>197398</v>
      </c>
      <c r="G4">
        <v>0</v>
      </c>
      <c r="H4">
        <f t="shared" si="0"/>
        <v>1483.9</v>
      </c>
      <c r="I4">
        <f t="shared" si="1"/>
        <v>1492</v>
      </c>
      <c r="J4">
        <f t="shared" si="2"/>
        <v>1482.9</v>
      </c>
      <c r="K4">
        <f t="shared" si="3"/>
        <v>9.0999999999999091</v>
      </c>
      <c r="L4">
        <f t="shared" si="4"/>
        <v>0</v>
      </c>
      <c r="M4" t="str">
        <f t="shared" si="5"/>
        <v>UP</v>
      </c>
      <c r="N4">
        <f t="shared" si="6"/>
        <v>7</v>
      </c>
      <c r="O4">
        <f t="shared" si="7"/>
        <v>10.300000000000182</v>
      </c>
      <c r="P4">
        <f t="shared" si="8"/>
        <v>10.600000000000136</v>
      </c>
      <c r="Q4">
        <f t="shared" si="9"/>
        <v>1490.9</v>
      </c>
      <c r="R4">
        <f t="shared" si="10"/>
        <v>1481.6299999999999</v>
      </c>
      <c r="S4">
        <f t="shared" si="11"/>
        <v>1.0599999999999454</v>
      </c>
      <c r="T4">
        <f t="shared" si="12"/>
        <v>1213.56</v>
      </c>
      <c r="U4">
        <f t="shared" si="13"/>
        <v>29.818000000000211</v>
      </c>
      <c r="V4">
        <f t="shared" si="14"/>
        <v>606.78</v>
      </c>
      <c r="W4">
        <f t="shared" si="15"/>
        <v>14.909000000000106</v>
      </c>
      <c r="X4">
        <f t="shared" si="16"/>
        <v>303.39</v>
      </c>
      <c r="Y4">
        <f t="shared" si="17"/>
        <v>7.4545000000000528</v>
      </c>
    </row>
    <row r="5" spans="1:25" x14ac:dyDescent="0.3">
      <c r="A5" t="s">
        <v>32</v>
      </c>
      <c r="B5">
        <v>1481</v>
      </c>
      <c r="C5">
        <v>1484</v>
      </c>
      <c r="D5">
        <v>1481</v>
      </c>
      <c r="E5">
        <v>1483.9</v>
      </c>
      <c r="F5">
        <v>72236</v>
      </c>
      <c r="G5">
        <v>0</v>
      </c>
      <c r="H5">
        <f t="shared" si="0"/>
        <v>1481.1</v>
      </c>
      <c r="I5">
        <f t="shared" si="1"/>
        <v>1484</v>
      </c>
      <c r="J5">
        <f t="shared" si="2"/>
        <v>1481</v>
      </c>
      <c r="K5">
        <f t="shared" si="3"/>
        <v>3</v>
      </c>
      <c r="L5">
        <f t="shared" si="4"/>
        <v>-9.9999999999909051E-2</v>
      </c>
      <c r="M5" t="str">
        <f t="shared" si="5"/>
        <v>UP</v>
      </c>
      <c r="N5">
        <f t="shared" si="6"/>
        <v>2.8000000000001819</v>
      </c>
      <c r="O5">
        <f t="shared" si="7"/>
        <v>4.3000000000001819</v>
      </c>
      <c r="P5">
        <f t="shared" si="8"/>
        <v>3.8000000000001819</v>
      </c>
      <c r="Q5">
        <f t="shared" si="9"/>
        <v>1483.9</v>
      </c>
      <c r="R5">
        <f t="shared" si="10"/>
        <v>1480.57</v>
      </c>
      <c r="S5">
        <f t="shared" si="11"/>
        <v>0.38000000000010914</v>
      </c>
      <c r="T5">
        <f t="shared" si="12"/>
        <v>1183.7419999999997</v>
      </c>
      <c r="U5">
        <f t="shared" si="13"/>
        <v>29.677999999999884</v>
      </c>
      <c r="V5">
        <f t="shared" si="14"/>
        <v>591.87099999999987</v>
      </c>
      <c r="W5">
        <f t="shared" si="15"/>
        <v>14.838999999999942</v>
      </c>
      <c r="X5">
        <f t="shared" si="16"/>
        <v>295.93549999999993</v>
      </c>
      <c r="Y5">
        <f t="shared" si="17"/>
        <v>7.4194999999999709</v>
      </c>
    </row>
    <row r="6" spans="1:25" x14ac:dyDescent="0.3">
      <c r="A6" t="s">
        <v>33</v>
      </c>
      <c r="B6">
        <v>1480.5</v>
      </c>
      <c r="C6">
        <v>1481.1</v>
      </c>
      <c r="D6">
        <v>1480</v>
      </c>
      <c r="E6">
        <v>1481.1</v>
      </c>
      <c r="F6">
        <v>29309</v>
      </c>
      <c r="G6">
        <v>0</v>
      </c>
      <c r="H6">
        <f t="shared" si="0"/>
        <v>1480.3</v>
      </c>
      <c r="I6">
        <f t="shared" si="1"/>
        <v>1481.1</v>
      </c>
      <c r="J6">
        <f t="shared" si="2"/>
        <v>1480</v>
      </c>
      <c r="K6">
        <f t="shared" si="3"/>
        <v>1.0999999999999091</v>
      </c>
      <c r="L6">
        <f t="shared" si="4"/>
        <v>0.20000000000004547</v>
      </c>
      <c r="M6" t="str">
        <f t="shared" si="5"/>
        <v>UP</v>
      </c>
      <c r="N6">
        <f t="shared" si="6"/>
        <v>0.79999999999995453</v>
      </c>
      <c r="O6">
        <f t="shared" si="7"/>
        <v>0.6999999999998181</v>
      </c>
      <c r="P6">
        <f t="shared" si="8"/>
        <v>0.79999999999995453</v>
      </c>
      <c r="Q6">
        <f t="shared" si="9"/>
        <v>1481.1</v>
      </c>
      <c r="R6">
        <f t="shared" si="10"/>
        <v>1480.1899999999998</v>
      </c>
      <c r="S6">
        <f t="shared" si="11"/>
        <v>8.0000000000154614E-2</v>
      </c>
      <c r="T6">
        <f t="shared" si="12"/>
        <v>1154.0639999999999</v>
      </c>
      <c r="U6">
        <f t="shared" si="13"/>
        <v>29.621999999999844</v>
      </c>
      <c r="V6">
        <f t="shared" si="14"/>
        <v>577.03199999999993</v>
      </c>
      <c r="W6">
        <f t="shared" si="15"/>
        <v>14.810999999999922</v>
      </c>
      <c r="X6">
        <f t="shared" si="16"/>
        <v>288.51599999999996</v>
      </c>
      <c r="Y6">
        <f t="shared" si="17"/>
        <v>7.4054999999999609</v>
      </c>
    </row>
    <row r="7" spans="1:25" x14ac:dyDescent="0.3">
      <c r="A7" t="s">
        <v>34</v>
      </c>
      <c r="B7">
        <v>1481</v>
      </c>
      <c r="C7">
        <v>1481.3</v>
      </c>
      <c r="D7">
        <v>1480</v>
      </c>
      <c r="E7">
        <v>1480.3</v>
      </c>
      <c r="F7">
        <v>26354</v>
      </c>
      <c r="G7">
        <v>0</v>
      </c>
      <c r="H7">
        <f t="shared" si="0"/>
        <v>1481.3</v>
      </c>
      <c r="I7">
        <f t="shared" si="1"/>
        <v>1481.3</v>
      </c>
      <c r="J7">
        <f t="shared" si="2"/>
        <v>1480</v>
      </c>
      <c r="K7">
        <f t="shared" si="3"/>
        <v>1.2999999999999545</v>
      </c>
      <c r="L7">
        <f t="shared" si="4"/>
        <v>-0.29999999999995453</v>
      </c>
      <c r="M7" t="str">
        <f t="shared" si="5"/>
        <v>DOWN</v>
      </c>
      <c r="N7">
        <f t="shared" si="6"/>
        <v>-1</v>
      </c>
      <c r="O7">
        <f t="shared" si="7"/>
        <v>0.39999999999986358</v>
      </c>
      <c r="P7">
        <f t="shared" si="8"/>
        <v>-0.79999999999995453</v>
      </c>
      <c r="Q7">
        <f t="shared" si="9"/>
        <v>1480.3</v>
      </c>
      <c r="R7">
        <f t="shared" si="10"/>
        <v>1480.1099999999997</v>
      </c>
      <c r="S7">
        <f t="shared" si="11"/>
        <v>-8.0000000000154614E-2</v>
      </c>
      <c r="T7">
        <f t="shared" si="12"/>
        <v>1124.442</v>
      </c>
      <c r="U7">
        <f t="shared" si="13"/>
        <v>29.605999999999995</v>
      </c>
      <c r="V7">
        <f t="shared" si="14"/>
        <v>562.221</v>
      </c>
      <c r="W7">
        <f t="shared" si="15"/>
        <v>14.802999999999997</v>
      </c>
      <c r="X7">
        <f t="shared" si="16"/>
        <v>281.1105</v>
      </c>
      <c r="Y7">
        <f t="shared" si="17"/>
        <v>7.4014999999999986</v>
      </c>
    </row>
    <row r="8" spans="1:25" x14ac:dyDescent="0.3">
      <c r="A8" t="s">
        <v>35</v>
      </c>
      <c r="B8">
        <v>1480.6</v>
      </c>
      <c r="C8">
        <v>1481.3</v>
      </c>
      <c r="D8">
        <v>1479.9</v>
      </c>
      <c r="E8">
        <v>1481.3</v>
      </c>
      <c r="F8">
        <v>26809</v>
      </c>
      <c r="G8">
        <v>0</v>
      </c>
      <c r="H8">
        <f t="shared" si="0"/>
        <v>1480.6</v>
      </c>
      <c r="I8">
        <f t="shared" si="1"/>
        <v>1481.3</v>
      </c>
      <c r="J8">
        <f t="shared" si="2"/>
        <v>1479.9</v>
      </c>
      <c r="K8">
        <f t="shared" si="3"/>
        <v>1.3999999999998636</v>
      </c>
      <c r="L8">
        <f t="shared" si="4"/>
        <v>0</v>
      </c>
      <c r="M8" t="str">
        <f t="shared" si="5"/>
        <v>UP</v>
      </c>
      <c r="N8">
        <f t="shared" si="6"/>
        <v>0.70000000000004547</v>
      </c>
      <c r="O8">
        <f t="shared" si="7"/>
        <v>3</v>
      </c>
      <c r="P8">
        <f t="shared" si="8"/>
        <v>0.5</v>
      </c>
      <c r="Q8">
        <f t="shared" si="9"/>
        <v>1481.3</v>
      </c>
      <c r="R8">
        <f t="shared" si="10"/>
        <v>1480.1899999999998</v>
      </c>
      <c r="S8">
        <f t="shared" si="11"/>
        <v>4.9999999999954525E-2</v>
      </c>
      <c r="T8">
        <f t="shared" si="12"/>
        <v>1094.836</v>
      </c>
      <c r="U8">
        <f t="shared" si="13"/>
        <v>29.625999999999976</v>
      </c>
      <c r="V8">
        <f t="shared" si="14"/>
        <v>547.41800000000001</v>
      </c>
      <c r="W8">
        <f t="shared" si="15"/>
        <v>14.812999999999988</v>
      </c>
      <c r="X8">
        <f t="shared" si="16"/>
        <v>273.709</v>
      </c>
      <c r="Y8">
        <f t="shared" si="17"/>
        <v>7.4064999999999941</v>
      </c>
    </row>
    <row r="9" spans="1:25" x14ac:dyDescent="0.3">
      <c r="A9" t="s">
        <v>36</v>
      </c>
      <c r="B9">
        <v>1480</v>
      </c>
      <c r="C9">
        <v>1481</v>
      </c>
      <c r="D9">
        <v>1479.5</v>
      </c>
      <c r="E9">
        <v>1480.6</v>
      </c>
      <c r="F9">
        <v>26034</v>
      </c>
      <c r="G9">
        <v>0</v>
      </c>
      <c r="H9">
        <f t="shared" si="0"/>
        <v>1479.6</v>
      </c>
      <c r="I9">
        <f t="shared" si="1"/>
        <v>1481</v>
      </c>
      <c r="J9">
        <f t="shared" si="2"/>
        <v>1479.5</v>
      </c>
      <c r="K9">
        <f t="shared" si="3"/>
        <v>1.5</v>
      </c>
      <c r="L9">
        <f t="shared" si="4"/>
        <v>0.40000000000009095</v>
      </c>
      <c r="M9" t="str">
        <f t="shared" si="5"/>
        <v>UP</v>
      </c>
      <c r="N9">
        <f t="shared" si="6"/>
        <v>1</v>
      </c>
      <c r="O9">
        <f t="shared" si="7"/>
        <v>0.29999999999995453</v>
      </c>
      <c r="P9">
        <f t="shared" si="8"/>
        <v>-1</v>
      </c>
      <c r="Q9">
        <f t="shared" si="9"/>
        <v>1480.6</v>
      </c>
      <c r="R9">
        <f t="shared" si="10"/>
        <v>1480.1399999999999</v>
      </c>
      <c r="S9">
        <f t="shared" si="11"/>
        <v>-0.10000000000013642</v>
      </c>
      <c r="T9">
        <f t="shared" si="12"/>
        <v>1065.21</v>
      </c>
      <c r="U9">
        <f t="shared" si="13"/>
        <v>29.61200000000008</v>
      </c>
      <c r="V9">
        <f t="shared" si="14"/>
        <v>532.60500000000002</v>
      </c>
      <c r="W9">
        <f t="shared" si="15"/>
        <v>14.80600000000004</v>
      </c>
      <c r="X9">
        <f t="shared" si="16"/>
        <v>266.30250000000001</v>
      </c>
      <c r="Y9">
        <f t="shared" si="17"/>
        <v>7.40300000000002</v>
      </c>
    </row>
    <row r="10" spans="1:25" x14ac:dyDescent="0.3">
      <c r="A10" t="s">
        <v>37</v>
      </c>
      <c r="B10">
        <v>1480.1</v>
      </c>
      <c r="C10">
        <v>1480.5</v>
      </c>
      <c r="D10">
        <v>1479.2</v>
      </c>
      <c r="E10">
        <v>1479.6</v>
      </c>
      <c r="F10">
        <v>30760</v>
      </c>
      <c r="G10">
        <v>0</v>
      </c>
      <c r="H10">
        <f t="shared" si="0"/>
        <v>1480.4</v>
      </c>
      <c r="I10">
        <f t="shared" si="1"/>
        <v>1480.5</v>
      </c>
      <c r="J10">
        <f t="shared" si="2"/>
        <v>1479.2</v>
      </c>
      <c r="K10">
        <f t="shared" si="3"/>
        <v>1.2999999999999545</v>
      </c>
      <c r="L10">
        <f t="shared" si="4"/>
        <v>-0.3000000000001819</v>
      </c>
      <c r="M10" t="str">
        <f t="shared" si="5"/>
        <v>DOWN</v>
      </c>
      <c r="N10">
        <f t="shared" si="6"/>
        <v>-0.8000000000001819</v>
      </c>
      <c r="O10">
        <f t="shared" si="7"/>
        <v>-0.5</v>
      </c>
      <c r="P10">
        <f t="shared" si="8"/>
        <v>-0.5</v>
      </c>
      <c r="Q10">
        <f t="shared" si="9"/>
        <v>1479.6</v>
      </c>
      <c r="R10">
        <f t="shared" si="10"/>
        <v>1480.24</v>
      </c>
      <c r="S10">
        <f t="shared" si="11"/>
        <v>-4.9999999999954525E-2</v>
      </c>
      <c r="T10">
        <f t="shared" si="12"/>
        <v>1035.598</v>
      </c>
      <c r="U10">
        <f t="shared" si="13"/>
        <v>29.592000000000098</v>
      </c>
      <c r="V10">
        <f t="shared" si="14"/>
        <v>517.79899999999998</v>
      </c>
      <c r="W10">
        <f t="shared" si="15"/>
        <v>14.796000000000049</v>
      </c>
      <c r="X10">
        <f t="shared" si="16"/>
        <v>258.89949999999999</v>
      </c>
      <c r="Y10">
        <f t="shared" si="17"/>
        <v>7.3980000000000246</v>
      </c>
    </row>
    <row r="11" spans="1:25" x14ac:dyDescent="0.3">
      <c r="A11" t="s">
        <v>38</v>
      </c>
      <c r="B11">
        <v>1479.9</v>
      </c>
      <c r="C11">
        <v>1480.4</v>
      </c>
      <c r="D11">
        <v>1479</v>
      </c>
      <c r="E11">
        <v>1480.4</v>
      </c>
      <c r="F11">
        <v>82321</v>
      </c>
      <c r="G11">
        <v>0</v>
      </c>
      <c r="H11">
        <f t="shared" si="0"/>
        <v>1479.9</v>
      </c>
      <c r="I11">
        <f t="shared" si="1"/>
        <v>1480.4</v>
      </c>
      <c r="J11">
        <f t="shared" si="2"/>
        <v>1479</v>
      </c>
      <c r="K11">
        <f t="shared" si="3"/>
        <v>1.4000000000000909</v>
      </c>
      <c r="L11">
        <f t="shared" si="4"/>
        <v>0</v>
      </c>
      <c r="M11" t="str">
        <f t="shared" si="5"/>
        <v>UP</v>
      </c>
      <c r="N11">
        <f t="shared" si="6"/>
        <v>0.5</v>
      </c>
      <c r="O11">
        <f t="shared" si="7"/>
        <v>0.10000000000013642</v>
      </c>
      <c r="P11">
        <f t="shared" si="8"/>
        <v>-1</v>
      </c>
      <c r="Q11">
        <f t="shared" si="9"/>
        <v>1480.4</v>
      </c>
      <c r="R11">
        <f t="shared" si="10"/>
        <v>1480.29</v>
      </c>
      <c r="S11">
        <f t="shared" si="11"/>
        <v>-9.9999999999909051E-2</v>
      </c>
      <c r="T11">
        <f t="shared" si="12"/>
        <v>1006.0059999999999</v>
      </c>
      <c r="U11">
        <f t="shared" si="13"/>
        <v>29.607999999999947</v>
      </c>
      <c r="V11">
        <f t="shared" si="14"/>
        <v>503.00299999999993</v>
      </c>
      <c r="W11">
        <f t="shared" si="15"/>
        <v>14.803999999999974</v>
      </c>
      <c r="X11">
        <f t="shared" si="16"/>
        <v>251.50149999999996</v>
      </c>
      <c r="Y11">
        <f t="shared" si="17"/>
        <v>7.4019999999999868</v>
      </c>
    </row>
    <row r="12" spans="1:25" x14ac:dyDescent="0.3">
      <c r="A12" t="s">
        <v>39</v>
      </c>
      <c r="B12">
        <v>1478.2</v>
      </c>
      <c r="C12">
        <v>1480</v>
      </c>
      <c r="D12">
        <v>1478</v>
      </c>
      <c r="E12">
        <v>1479.9</v>
      </c>
      <c r="F12">
        <v>39817</v>
      </c>
      <c r="G12">
        <v>0</v>
      </c>
      <c r="H12">
        <f t="shared" si="0"/>
        <v>1478.3</v>
      </c>
      <c r="I12">
        <f t="shared" si="1"/>
        <v>1480</v>
      </c>
      <c r="J12">
        <f t="shared" si="2"/>
        <v>1478</v>
      </c>
      <c r="K12">
        <f t="shared" si="3"/>
        <v>2</v>
      </c>
      <c r="L12">
        <f t="shared" si="4"/>
        <v>-9.9999999999909051E-2</v>
      </c>
      <c r="M12" t="str">
        <f t="shared" si="5"/>
        <v>UP</v>
      </c>
      <c r="N12">
        <f t="shared" si="6"/>
        <v>1.6000000000001364</v>
      </c>
      <c r="O12">
        <f t="shared" si="7"/>
        <v>-1.1999999999998181</v>
      </c>
      <c r="P12">
        <f t="shared" si="8"/>
        <v>-2.7999999999999545</v>
      </c>
      <c r="Q12">
        <f t="shared" si="9"/>
        <v>1479.9</v>
      </c>
      <c r="R12">
        <f t="shared" si="10"/>
        <v>1480.3899999999999</v>
      </c>
      <c r="S12">
        <f t="shared" si="11"/>
        <v>-0.28000000000020009</v>
      </c>
      <c r="T12">
        <f t="shared" si="12"/>
        <v>976.39799999999991</v>
      </c>
      <c r="U12">
        <f t="shared" si="13"/>
        <v>29.59800000000007</v>
      </c>
      <c r="V12">
        <f t="shared" si="14"/>
        <v>488.19899999999996</v>
      </c>
      <c r="W12">
        <f t="shared" si="15"/>
        <v>14.799000000000035</v>
      </c>
      <c r="X12">
        <f t="shared" si="16"/>
        <v>244.09949999999998</v>
      </c>
      <c r="Y12">
        <f t="shared" si="17"/>
        <v>7.3995000000000175</v>
      </c>
    </row>
    <row r="13" spans="1:25" x14ac:dyDescent="0.3">
      <c r="A13" t="s">
        <v>40</v>
      </c>
      <c r="B13">
        <v>1480</v>
      </c>
      <c r="C13">
        <v>1480.5</v>
      </c>
      <c r="D13">
        <v>1477</v>
      </c>
      <c r="E13">
        <v>1478.3</v>
      </c>
      <c r="F13">
        <v>65132</v>
      </c>
      <c r="G13">
        <v>0</v>
      </c>
      <c r="H13">
        <f t="shared" si="0"/>
        <v>1480.3</v>
      </c>
      <c r="I13">
        <f t="shared" si="1"/>
        <v>1480.5</v>
      </c>
      <c r="J13">
        <f t="shared" si="2"/>
        <v>1477</v>
      </c>
      <c r="K13">
        <f t="shared" si="3"/>
        <v>3.5</v>
      </c>
      <c r="L13">
        <f t="shared" si="4"/>
        <v>-0.29999999999995453</v>
      </c>
      <c r="M13" t="str">
        <f t="shared" si="5"/>
        <v>DOWN</v>
      </c>
      <c r="N13">
        <f t="shared" si="6"/>
        <v>-2</v>
      </c>
      <c r="O13">
        <f t="shared" si="7"/>
        <v>-2.5</v>
      </c>
      <c r="P13">
        <f t="shared" si="8"/>
        <v>-1.7000000000000455</v>
      </c>
      <c r="Q13">
        <f t="shared" si="9"/>
        <v>1478.3</v>
      </c>
      <c r="R13">
        <f t="shared" si="10"/>
        <v>1480.67</v>
      </c>
      <c r="S13">
        <f t="shared" si="11"/>
        <v>-0.16999999999984539</v>
      </c>
      <c r="T13">
        <f t="shared" si="12"/>
        <v>946.79999999999984</v>
      </c>
      <c r="U13">
        <f t="shared" si="13"/>
        <v>29.565999999999917</v>
      </c>
      <c r="V13">
        <f t="shared" si="14"/>
        <v>473.39999999999992</v>
      </c>
      <c r="W13">
        <f t="shared" si="15"/>
        <v>14.782999999999959</v>
      </c>
      <c r="X13">
        <f t="shared" si="16"/>
        <v>236.69999999999996</v>
      </c>
      <c r="Y13">
        <f t="shared" si="17"/>
        <v>7.3914999999999793</v>
      </c>
    </row>
    <row r="14" spans="1:25" x14ac:dyDescent="0.3">
      <c r="A14" t="s">
        <v>41</v>
      </c>
      <c r="B14">
        <v>1480.1</v>
      </c>
      <c r="C14">
        <v>1480.7</v>
      </c>
      <c r="D14">
        <v>1480</v>
      </c>
      <c r="E14">
        <v>1480.3</v>
      </c>
      <c r="F14">
        <v>43670</v>
      </c>
      <c r="G14">
        <v>0</v>
      </c>
      <c r="H14">
        <f t="shared" si="0"/>
        <v>1480.1</v>
      </c>
      <c r="I14">
        <f t="shared" si="1"/>
        <v>1480.7</v>
      </c>
      <c r="J14">
        <f t="shared" si="2"/>
        <v>1480</v>
      </c>
      <c r="K14">
        <f t="shared" si="3"/>
        <v>0.70000000000004547</v>
      </c>
      <c r="L14">
        <f t="shared" si="4"/>
        <v>0</v>
      </c>
      <c r="M14" t="str">
        <f t="shared" si="5"/>
        <v>UP</v>
      </c>
      <c r="N14">
        <f t="shared" si="6"/>
        <v>0.20000000000004547</v>
      </c>
      <c r="O14">
        <f t="shared" si="7"/>
        <v>-1.2999999999999545</v>
      </c>
      <c r="P14">
        <f t="shared" si="8"/>
        <v>0.89999999999986358</v>
      </c>
      <c r="Q14">
        <f t="shared" si="9"/>
        <v>1480.3</v>
      </c>
      <c r="R14">
        <f t="shared" si="10"/>
        <v>1480.84</v>
      </c>
      <c r="S14">
        <f t="shared" si="11"/>
        <v>8.9999999999918145E-2</v>
      </c>
      <c r="T14">
        <f t="shared" si="12"/>
        <v>917.23399999999992</v>
      </c>
      <c r="U14">
        <f t="shared" si="13"/>
        <v>29.605999999999881</v>
      </c>
      <c r="V14">
        <f t="shared" si="14"/>
        <v>458.61699999999996</v>
      </c>
      <c r="W14">
        <f t="shared" si="15"/>
        <v>14.80299999999994</v>
      </c>
      <c r="X14">
        <f t="shared" si="16"/>
        <v>229.30849999999998</v>
      </c>
      <c r="Y14">
        <f t="shared" si="17"/>
        <v>7.4014999999999702</v>
      </c>
    </row>
    <row r="15" spans="1:25" x14ac:dyDescent="0.3">
      <c r="A15" t="s">
        <v>42</v>
      </c>
      <c r="B15">
        <v>1480</v>
      </c>
      <c r="C15">
        <v>1480.5</v>
      </c>
      <c r="D15">
        <v>1480</v>
      </c>
      <c r="E15">
        <v>1480.1</v>
      </c>
      <c r="F15">
        <v>40718</v>
      </c>
      <c r="G15">
        <v>0</v>
      </c>
      <c r="H15">
        <f t="shared" si="0"/>
        <v>1480.3</v>
      </c>
      <c r="I15">
        <f t="shared" si="1"/>
        <v>1480.5</v>
      </c>
      <c r="J15">
        <f t="shared" si="2"/>
        <v>1480</v>
      </c>
      <c r="K15">
        <f t="shared" si="3"/>
        <v>0.5</v>
      </c>
      <c r="L15">
        <f t="shared" si="4"/>
        <v>-0.29999999999995453</v>
      </c>
      <c r="M15" t="str">
        <f t="shared" si="5"/>
        <v>DOWN</v>
      </c>
      <c r="N15">
        <f t="shared" si="6"/>
        <v>-0.20000000000004547</v>
      </c>
      <c r="O15">
        <f t="shared" si="7"/>
        <v>0</v>
      </c>
      <c r="P15">
        <f t="shared" si="8"/>
        <v>4.5</v>
      </c>
      <c r="Q15">
        <f t="shared" si="9"/>
        <v>1480.1</v>
      </c>
      <c r="R15">
        <f t="shared" si="10"/>
        <v>1480.75</v>
      </c>
      <c r="S15">
        <f t="shared" si="11"/>
        <v>0.45000000000004547</v>
      </c>
      <c r="T15">
        <f t="shared" si="12"/>
        <v>887.62800000000004</v>
      </c>
      <c r="U15">
        <f t="shared" si="13"/>
        <v>29.602000000000089</v>
      </c>
      <c r="V15">
        <f t="shared" si="14"/>
        <v>443.81400000000002</v>
      </c>
      <c r="W15">
        <f t="shared" si="15"/>
        <v>14.801000000000045</v>
      </c>
      <c r="X15">
        <f t="shared" si="16"/>
        <v>221.90700000000001</v>
      </c>
      <c r="Y15">
        <f t="shared" si="17"/>
        <v>7.4005000000000223</v>
      </c>
    </row>
    <row r="16" spans="1:25" x14ac:dyDescent="0.3">
      <c r="A16" t="s">
        <v>43</v>
      </c>
      <c r="B16">
        <v>1481</v>
      </c>
      <c r="C16">
        <v>1481.2</v>
      </c>
      <c r="D16">
        <v>1479.9</v>
      </c>
      <c r="E16">
        <v>1480.3</v>
      </c>
      <c r="F16">
        <v>52568</v>
      </c>
      <c r="G16">
        <v>0</v>
      </c>
      <c r="H16">
        <f t="shared" si="0"/>
        <v>1481.1</v>
      </c>
      <c r="I16">
        <f t="shared" si="1"/>
        <v>1481.2</v>
      </c>
      <c r="J16">
        <f t="shared" si="2"/>
        <v>1479.9</v>
      </c>
      <c r="K16">
        <f t="shared" si="3"/>
        <v>1.2999999999999545</v>
      </c>
      <c r="L16">
        <f t="shared" si="4"/>
        <v>-9.9999999999909051E-2</v>
      </c>
      <c r="M16" t="str">
        <f t="shared" si="5"/>
        <v>DOWN</v>
      </c>
      <c r="N16">
        <f t="shared" si="6"/>
        <v>-0.79999999999995453</v>
      </c>
      <c r="O16">
        <f t="shared" si="7"/>
        <v>-1.1000000000001364</v>
      </c>
      <c r="P16">
        <f t="shared" si="8"/>
        <v>3</v>
      </c>
      <c r="Q16">
        <f t="shared" si="9"/>
        <v>1480.3</v>
      </c>
      <c r="R16">
        <f t="shared" si="10"/>
        <v>1480.3</v>
      </c>
      <c r="S16">
        <f t="shared" si="11"/>
        <v>0.29999999999995453</v>
      </c>
      <c r="T16">
        <f t="shared" si="12"/>
        <v>858.02599999999995</v>
      </c>
      <c r="U16">
        <f t="shared" si="13"/>
        <v>29.606000000000108</v>
      </c>
      <c r="V16">
        <f t="shared" si="14"/>
        <v>429.01299999999998</v>
      </c>
      <c r="W16">
        <f t="shared" si="15"/>
        <v>14.803000000000054</v>
      </c>
      <c r="X16">
        <f t="shared" si="16"/>
        <v>214.50649999999999</v>
      </c>
      <c r="Y16">
        <f t="shared" si="17"/>
        <v>7.4015000000000271</v>
      </c>
    </row>
    <row r="17" spans="1:25" x14ac:dyDescent="0.3">
      <c r="A17" t="s">
        <v>44</v>
      </c>
      <c r="B17">
        <v>1480.7</v>
      </c>
      <c r="C17">
        <v>1481.1</v>
      </c>
      <c r="D17">
        <v>1480</v>
      </c>
      <c r="E17">
        <v>1481.1</v>
      </c>
      <c r="F17">
        <v>22898</v>
      </c>
      <c r="G17">
        <v>0</v>
      </c>
      <c r="H17">
        <f t="shared" si="0"/>
        <v>1480.8</v>
      </c>
      <c r="I17">
        <f t="shared" si="1"/>
        <v>1481.1</v>
      </c>
      <c r="J17">
        <f t="shared" si="2"/>
        <v>1480</v>
      </c>
      <c r="K17">
        <f t="shared" si="3"/>
        <v>1.0999999999999091</v>
      </c>
      <c r="L17">
        <f t="shared" si="4"/>
        <v>-9.9999999999909051E-2</v>
      </c>
      <c r="M17" t="str">
        <f t="shared" si="5"/>
        <v>UP</v>
      </c>
      <c r="N17">
        <f t="shared" si="6"/>
        <v>0.29999999999995453</v>
      </c>
      <c r="O17">
        <f t="shared" si="7"/>
        <v>-1.6000000000001364</v>
      </c>
      <c r="P17">
        <f t="shared" si="8"/>
        <v>4.0999999999999091</v>
      </c>
      <c r="Q17">
        <f t="shared" si="9"/>
        <v>1481.1</v>
      </c>
      <c r="R17">
        <f t="shared" si="10"/>
        <v>1480</v>
      </c>
      <c r="S17">
        <f t="shared" si="11"/>
        <v>0.41000000000030923</v>
      </c>
      <c r="T17">
        <f t="shared" si="12"/>
        <v>828.41999999999985</v>
      </c>
      <c r="U17">
        <f t="shared" si="13"/>
        <v>29.621999999999844</v>
      </c>
      <c r="V17">
        <f t="shared" si="14"/>
        <v>414.20999999999992</v>
      </c>
      <c r="W17">
        <f t="shared" si="15"/>
        <v>14.810999999999922</v>
      </c>
      <c r="X17">
        <f t="shared" si="16"/>
        <v>207.10499999999996</v>
      </c>
      <c r="Y17">
        <f t="shared" si="17"/>
        <v>7.4054999999999609</v>
      </c>
    </row>
    <row r="18" spans="1:25" x14ac:dyDescent="0.3">
      <c r="A18" t="s">
        <v>45</v>
      </c>
      <c r="B18">
        <v>1481.6</v>
      </c>
      <c r="C18">
        <v>1482.6</v>
      </c>
      <c r="D18">
        <v>1480</v>
      </c>
      <c r="E18">
        <v>1480.8</v>
      </c>
      <c r="F18">
        <v>94923</v>
      </c>
      <c r="G18">
        <v>0</v>
      </c>
      <c r="H18">
        <f t="shared" si="0"/>
        <v>1481.6</v>
      </c>
      <c r="I18">
        <f t="shared" si="1"/>
        <v>1482.6</v>
      </c>
      <c r="J18">
        <f t="shared" si="2"/>
        <v>1480</v>
      </c>
      <c r="K18">
        <f t="shared" si="3"/>
        <v>2.5999999999999091</v>
      </c>
      <c r="L18">
        <f t="shared" si="4"/>
        <v>0</v>
      </c>
      <c r="M18" t="str">
        <f t="shared" si="5"/>
        <v>DOWN</v>
      </c>
      <c r="N18">
        <f t="shared" si="6"/>
        <v>-0.79999999999995453</v>
      </c>
      <c r="O18">
        <f t="shared" si="7"/>
        <v>0.79999999999995453</v>
      </c>
      <c r="P18">
        <f t="shared" si="8"/>
        <v>5.2000000000000455</v>
      </c>
      <c r="Q18">
        <f t="shared" si="9"/>
        <v>1480.8</v>
      </c>
      <c r="R18">
        <f t="shared" si="10"/>
        <v>1479.5899999999997</v>
      </c>
      <c r="S18">
        <f t="shared" si="11"/>
        <v>0.51999999999952706</v>
      </c>
      <c r="T18">
        <f t="shared" si="12"/>
        <v>798.798</v>
      </c>
      <c r="U18">
        <f t="shared" si="13"/>
        <v>29.615999999999985</v>
      </c>
      <c r="V18">
        <f t="shared" si="14"/>
        <v>399.399</v>
      </c>
      <c r="W18">
        <f t="shared" si="15"/>
        <v>14.807999999999993</v>
      </c>
      <c r="X18">
        <f t="shared" si="16"/>
        <v>199.6995</v>
      </c>
      <c r="Y18">
        <f t="shared" si="17"/>
        <v>7.4039999999999964</v>
      </c>
    </row>
    <row r="19" spans="1:25" x14ac:dyDescent="0.3">
      <c r="A19" t="s">
        <v>46</v>
      </c>
      <c r="B19">
        <v>1480.5</v>
      </c>
      <c r="C19">
        <v>1482.7</v>
      </c>
      <c r="D19">
        <v>1480</v>
      </c>
      <c r="E19">
        <v>1481.6</v>
      </c>
      <c r="F19">
        <v>25933</v>
      </c>
      <c r="G19">
        <v>0</v>
      </c>
      <c r="H19">
        <f t="shared" si="0"/>
        <v>1480.1</v>
      </c>
      <c r="I19">
        <f t="shared" si="1"/>
        <v>1482.7</v>
      </c>
      <c r="J19">
        <f t="shared" si="2"/>
        <v>1480</v>
      </c>
      <c r="K19">
        <f t="shared" si="3"/>
        <v>2.7000000000000455</v>
      </c>
      <c r="L19">
        <f t="shared" si="4"/>
        <v>0.40000000000009095</v>
      </c>
      <c r="M19" t="str">
        <f t="shared" si="5"/>
        <v>UP</v>
      </c>
      <c r="N19">
        <f t="shared" si="6"/>
        <v>1.5</v>
      </c>
      <c r="O19">
        <f t="shared" si="7"/>
        <v>2.1999999999998181</v>
      </c>
      <c r="P19">
        <f t="shared" si="8"/>
        <v>6</v>
      </c>
      <c r="Q19">
        <f t="shared" si="9"/>
        <v>1481.6</v>
      </c>
      <c r="R19">
        <f t="shared" si="10"/>
        <v>1479.0700000000002</v>
      </c>
      <c r="S19">
        <f t="shared" si="11"/>
        <v>0.60000000000013642</v>
      </c>
      <c r="T19">
        <f t="shared" si="12"/>
        <v>769.18200000000002</v>
      </c>
      <c r="U19">
        <f t="shared" si="13"/>
        <v>29.632000000000062</v>
      </c>
      <c r="V19">
        <f t="shared" si="14"/>
        <v>384.59100000000001</v>
      </c>
      <c r="W19">
        <f t="shared" si="15"/>
        <v>14.816000000000031</v>
      </c>
      <c r="X19">
        <f t="shared" si="16"/>
        <v>192.2955</v>
      </c>
      <c r="Y19">
        <f t="shared" si="17"/>
        <v>7.4080000000000155</v>
      </c>
    </row>
    <row r="20" spans="1:25" x14ac:dyDescent="0.3">
      <c r="A20" t="s">
        <v>47</v>
      </c>
      <c r="B20">
        <v>1481.8</v>
      </c>
      <c r="C20">
        <v>1481.9</v>
      </c>
      <c r="D20">
        <v>1479.1</v>
      </c>
      <c r="E20">
        <v>1480.1</v>
      </c>
      <c r="F20">
        <v>36932</v>
      </c>
      <c r="G20">
        <v>0</v>
      </c>
      <c r="H20">
        <f t="shared" si="0"/>
        <v>1481.4</v>
      </c>
      <c r="I20">
        <f t="shared" si="1"/>
        <v>1481.9</v>
      </c>
      <c r="J20">
        <f t="shared" si="2"/>
        <v>1479.1</v>
      </c>
      <c r="K20">
        <f t="shared" si="3"/>
        <v>2.8000000000001819</v>
      </c>
      <c r="L20">
        <f t="shared" si="4"/>
        <v>0.39999999999986358</v>
      </c>
      <c r="M20" t="str">
        <f t="shared" si="5"/>
        <v>DOWN</v>
      </c>
      <c r="N20">
        <f t="shared" si="6"/>
        <v>-1.3000000000001819</v>
      </c>
      <c r="O20">
        <f t="shared" si="7"/>
        <v>4.5</v>
      </c>
      <c r="P20">
        <f t="shared" si="8"/>
        <v>5.1999999999998181</v>
      </c>
      <c r="Q20">
        <f t="shared" si="9"/>
        <v>1480.1</v>
      </c>
      <c r="R20">
        <f t="shared" si="10"/>
        <v>1478.47</v>
      </c>
      <c r="S20">
        <f t="shared" si="11"/>
        <v>0.51999999999998181</v>
      </c>
      <c r="T20">
        <f t="shared" si="12"/>
        <v>739.55</v>
      </c>
      <c r="U20">
        <f t="shared" si="13"/>
        <v>29.601999999999975</v>
      </c>
      <c r="V20">
        <f t="shared" si="14"/>
        <v>369.77499999999998</v>
      </c>
      <c r="W20">
        <f t="shared" si="15"/>
        <v>14.800999999999988</v>
      </c>
      <c r="X20">
        <f t="shared" si="16"/>
        <v>184.88749999999999</v>
      </c>
      <c r="Y20">
        <f t="shared" si="17"/>
        <v>7.4004999999999939</v>
      </c>
    </row>
    <row r="21" spans="1:25" x14ac:dyDescent="0.3">
      <c r="A21" t="s">
        <v>48</v>
      </c>
      <c r="B21">
        <v>1482.6</v>
      </c>
      <c r="C21">
        <v>1483.9</v>
      </c>
      <c r="D21">
        <v>1481.2</v>
      </c>
      <c r="E21">
        <v>1481.4</v>
      </c>
      <c r="F21">
        <v>47244</v>
      </c>
      <c r="G21">
        <v>0</v>
      </c>
      <c r="H21">
        <f t="shared" si="0"/>
        <v>1482.7</v>
      </c>
      <c r="I21">
        <f t="shared" si="1"/>
        <v>1483.9</v>
      </c>
      <c r="J21">
        <f t="shared" si="2"/>
        <v>1481.2</v>
      </c>
      <c r="K21">
        <f t="shared" si="3"/>
        <v>2.7000000000000455</v>
      </c>
      <c r="L21">
        <f t="shared" si="4"/>
        <v>-0.10000000000013642</v>
      </c>
      <c r="M21" t="str">
        <f t="shared" si="5"/>
        <v>DOWN</v>
      </c>
      <c r="N21">
        <f t="shared" si="6"/>
        <v>-1.2999999999999545</v>
      </c>
      <c r="O21">
        <f t="shared" si="7"/>
        <v>4.1000000000001364</v>
      </c>
      <c r="P21">
        <f t="shared" si="8"/>
        <v>4.8000000000001819</v>
      </c>
      <c r="Q21">
        <f t="shared" si="9"/>
        <v>1481.4</v>
      </c>
      <c r="R21">
        <f t="shared" si="10"/>
        <v>1477.95</v>
      </c>
      <c r="S21">
        <f t="shared" si="11"/>
        <v>0.48000000000001819</v>
      </c>
      <c r="T21">
        <f t="shared" si="12"/>
        <v>709.94799999999998</v>
      </c>
      <c r="U21">
        <f t="shared" si="13"/>
        <v>29.627999999999929</v>
      </c>
      <c r="V21">
        <f t="shared" si="14"/>
        <v>354.97399999999999</v>
      </c>
      <c r="W21">
        <f t="shared" si="15"/>
        <v>14.813999999999965</v>
      </c>
      <c r="X21">
        <f t="shared" si="16"/>
        <v>177.48699999999999</v>
      </c>
      <c r="Y21">
        <f t="shared" si="17"/>
        <v>7.4069999999999823</v>
      </c>
    </row>
    <row r="22" spans="1:25" x14ac:dyDescent="0.3">
      <c r="A22" t="s">
        <v>49</v>
      </c>
      <c r="B22">
        <v>1480</v>
      </c>
      <c r="C22">
        <v>1483.7</v>
      </c>
      <c r="D22">
        <v>1480</v>
      </c>
      <c r="E22">
        <v>1482.7</v>
      </c>
      <c r="F22">
        <v>57131</v>
      </c>
      <c r="G22">
        <v>0</v>
      </c>
      <c r="H22">
        <f t="shared" si="0"/>
        <v>1480</v>
      </c>
      <c r="I22">
        <f t="shared" si="1"/>
        <v>1483.7</v>
      </c>
      <c r="J22">
        <f t="shared" si="2"/>
        <v>1480</v>
      </c>
      <c r="K22">
        <f t="shared" si="3"/>
        <v>3.7000000000000455</v>
      </c>
      <c r="L22">
        <f t="shared" si="4"/>
        <v>0</v>
      </c>
      <c r="M22" t="str">
        <f t="shared" si="5"/>
        <v>UP</v>
      </c>
      <c r="N22">
        <f t="shared" si="6"/>
        <v>2.7000000000000455</v>
      </c>
      <c r="O22">
        <f t="shared" si="7"/>
        <v>5.7000000000000455</v>
      </c>
      <c r="P22">
        <f t="shared" si="8"/>
        <v>5.9000000000000909</v>
      </c>
      <c r="Q22">
        <f t="shared" si="9"/>
        <v>1482.7</v>
      </c>
      <c r="R22">
        <f t="shared" si="10"/>
        <v>1477.47</v>
      </c>
      <c r="S22">
        <f t="shared" si="11"/>
        <v>0.59000000000014552</v>
      </c>
      <c r="T22">
        <f t="shared" si="12"/>
        <v>680.32</v>
      </c>
      <c r="U22">
        <f t="shared" si="13"/>
        <v>29.65400000000011</v>
      </c>
      <c r="V22">
        <f t="shared" si="14"/>
        <v>340.16</v>
      </c>
      <c r="W22">
        <f t="shared" si="15"/>
        <v>14.827000000000055</v>
      </c>
      <c r="X22">
        <f t="shared" si="16"/>
        <v>170.08</v>
      </c>
      <c r="Y22">
        <f t="shared" si="17"/>
        <v>7.4135000000000275</v>
      </c>
    </row>
    <row r="23" spans="1:25" x14ac:dyDescent="0.3">
      <c r="A23" t="s">
        <v>50</v>
      </c>
      <c r="B23">
        <v>1479.5</v>
      </c>
      <c r="C23">
        <v>1481</v>
      </c>
      <c r="D23">
        <v>1478.9</v>
      </c>
      <c r="E23">
        <v>1480</v>
      </c>
      <c r="F23">
        <v>50572</v>
      </c>
      <c r="G23">
        <v>0</v>
      </c>
      <c r="H23">
        <f t="shared" si="0"/>
        <v>1479.4</v>
      </c>
      <c r="I23">
        <f t="shared" si="1"/>
        <v>1481</v>
      </c>
      <c r="J23">
        <f t="shared" si="2"/>
        <v>1478.9</v>
      </c>
      <c r="K23">
        <f t="shared" si="3"/>
        <v>2.0999999999999091</v>
      </c>
      <c r="L23">
        <f t="shared" si="4"/>
        <v>9.9999999999909051E-2</v>
      </c>
      <c r="M23" t="str">
        <f t="shared" si="5"/>
        <v>UP</v>
      </c>
      <c r="N23">
        <f t="shared" si="6"/>
        <v>0.59999999999990905</v>
      </c>
      <c r="O23">
        <f t="shared" si="7"/>
        <v>4.4000000000000909</v>
      </c>
      <c r="P23">
        <f t="shared" si="8"/>
        <v>9.9999999999909051E-2</v>
      </c>
      <c r="Q23">
        <f t="shared" si="9"/>
        <v>1480</v>
      </c>
      <c r="R23">
        <f t="shared" si="10"/>
        <v>1476.8799999999999</v>
      </c>
      <c r="S23">
        <f t="shared" si="11"/>
        <v>9.9999999999909051E-3</v>
      </c>
      <c r="T23">
        <f t="shared" si="12"/>
        <v>650.66599999999994</v>
      </c>
      <c r="U23">
        <f t="shared" si="13"/>
        <v>29.600000000000023</v>
      </c>
      <c r="V23">
        <f t="shared" si="14"/>
        <v>325.33299999999997</v>
      </c>
      <c r="W23">
        <f t="shared" si="15"/>
        <v>14.800000000000011</v>
      </c>
      <c r="X23">
        <f t="shared" si="16"/>
        <v>162.66649999999998</v>
      </c>
      <c r="Y23">
        <f t="shared" si="17"/>
        <v>7.4000000000000057</v>
      </c>
    </row>
    <row r="24" spans="1:25" x14ac:dyDescent="0.3">
      <c r="A24" t="s">
        <v>51</v>
      </c>
      <c r="B24">
        <v>1475.5</v>
      </c>
      <c r="C24">
        <v>1479.5</v>
      </c>
      <c r="D24">
        <v>1475.4</v>
      </c>
      <c r="E24">
        <v>1479.4</v>
      </c>
      <c r="F24">
        <v>51862</v>
      </c>
      <c r="G24">
        <v>0</v>
      </c>
      <c r="H24">
        <f t="shared" si="0"/>
        <v>1475.6</v>
      </c>
      <c r="I24">
        <f t="shared" si="1"/>
        <v>1479.5</v>
      </c>
      <c r="J24">
        <f t="shared" si="2"/>
        <v>1475.4</v>
      </c>
      <c r="K24">
        <f t="shared" si="3"/>
        <v>4.0999999999999091</v>
      </c>
      <c r="L24">
        <f t="shared" si="4"/>
        <v>-9.9999999999909051E-2</v>
      </c>
      <c r="M24" t="str">
        <f t="shared" si="5"/>
        <v>UP</v>
      </c>
      <c r="N24">
        <f t="shared" si="6"/>
        <v>3.8000000000001819</v>
      </c>
      <c r="O24">
        <f t="shared" si="7"/>
        <v>3.8000000000001819</v>
      </c>
      <c r="P24">
        <f t="shared" si="8"/>
        <v>0</v>
      </c>
      <c r="Q24">
        <f t="shared" si="9"/>
        <v>1479.4</v>
      </c>
      <c r="R24">
        <f t="shared" si="10"/>
        <v>1476.87</v>
      </c>
      <c r="S24">
        <f t="shared" si="11"/>
        <v>0</v>
      </c>
      <c r="T24">
        <f t="shared" si="12"/>
        <v>621.06599999999992</v>
      </c>
      <c r="U24">
        <f t="shared" si="13"/>
        <v>29.588000000000079</v>
      </c>
      <c r="V24">
        <f t="shared" si="14"/>
        <v>310.53299999999996</v>
      </c>
      <c r="W24">
        <f t="shared" si="15"/>
        <v>14.79400000000004</v>
      </c>
      <c r="X24">
        <f t="shared" si="16"/>
        <v>155.26649999999998</v>
      </c>
      <c r="Y24">
        <f t="shared" si="17"/>
        <v>7.3970000000000198</v>
      </c>
    </row>
    <row r="25" spans="1:25" x14ac:dyDescent="0.3">
      <c r="A25" t="s">
        <v>52</v>
      </c>
      <c r="B25">
        <v>1477.6</v>
      </c>
      <c r="C25">
        <v>1477.6</v>
      </c>
      <c r="D25">
        <v>1475</v>
      </c>
      <c r="E25">
        <v>1475.6</v>
      </c>
      <c r="F25">
        <v>32519</v>
      </c>
      <c r="G25">
        <v>0</v>
      </c>
      <c r="H25">
        <f t="shared" si="0"/>
        <v>1477.3</v>
      </c>
      <c r="I25">
        <f t="shared" si="1"/>
        <v>1477.6</v>
      </c>
      <c r="J25">
        <f t="shared" si="2"/>
        <v>1475</v>
      </c>
      <c r="K25">
        <f t="shared" si="3"/>
        <v>2.5999999999999091</v>
      </c>
      <c r="L25">
        <f t="shared" si="4"/>
        <v>0.29999999999995453</v>
      </c>
      <c r="M25" t="str">
        <f t="shared" si="5"/>
        <v>DOWN</v>
      </c>
      <c r="N25">
        <f t="shared" si="6"/>
        <v>-1.7000000000000455</v>
      </c>
      <c r="O25">
        <f t="shared" si="7"/>
        <v>0.6999999999998181</v>
      </c>
      <c r="P25">
        <f t="shared" si="8"/>
        <v>-3.8000000000001819</v>
      </c>
      <c r="Q25">
        <f t="shared" si="9"/>
        <v>1475.6</v>
      </c>
      <c r="R25">
        <f t="shared" si="10"/>
        <v>1476.87</v>
      </c>
      <c r="S25">
        <f t="shared" si="11"/>
        <v>-0.37999999999988177</v>
      </c>
      <c r="T25">
        <f t="shared" si="12"/>
        <v>591.47799999999984</v>
      </c>
      <c r="U25">
        <f t="shared" si="13"/>
        <v>29.511999999999944</v>
      </c>
      <c r="V25">
        <f t="shared" si="14"/>
        <v>295.73899999999992</v>
      </c>
      <c r="W25">
        <f t="shared" si="15"/>
        <v>14.755999999999972</v>
      </c>
      <c r="X25">
        <f t="shared" si="16"/>
        <v>147.86949999999996</v>
      </c>
      <c r="Y25">
        <f t="shared" si="17"/>
        <v>7.3779999999999859</v>
      </c>
    </row>
    <row r="26" spans="1:25" x14ac:dyDescent="0.3">
      <c r="A26" t="s">
        <v>53</v>
      </c>
      <c r="B26">
        <v>1476.7</v>
      </c>
      <c r="C26">
        <v>1478.2</v>
      </c>
      <c r="D26">
        <v>1476.4</v>
      </c>
      <c r="E26">
        <v>1477.3</v>
      </c>
      <c r="F26">
        <v>32894</v>
      </c>
      <c r="G26">
        <v>0</v>
      </c>
      <c r="H26">
        <f t="shared" si="0"/>
        <v>1477</v>
      </c>
      <c r="I26">
        <f t="shared" si="1"/>
        <v>1478.2</v>
      </c>
      <c r="J26">
        <f t="shared" si="2"/>
        <v>1476.4</v>
      </c>
      <c r="K26">
        <f t="shared" si="3"/>
        <v>1.7999999999999545</v>
      </c>
      <c r="L26">
        <f t="shared" si="4"/>
        <v>-0.29999999999995453</v>
      </c>
      <c r="M26" t="str">
        <f t="shared" si="5"/>
        <v>UP</v>
      </c>
      <c r="N26">
        <f t="shared" si="6"/>
        <v>0.29999999999995453</v>
      </c>
      <c r="O26">
        <f t="shared" si="7"/>
        <v>0.70000000000004547</v>
      </c>
      <c r="P26">
        <f t="shared" si="8"/>
        <v>-3.2999999999999545</v>
      </c>
      <c r="Q26">
        <f t="shared" si="9"/>
        <v>1477.3</v>
      </c>
      <c r="R26">
        <f t="shared" si="10"/>
        <v>1477.2499999999998</v>
      </c>
      <c r="S26">
        <f t="shared" si="11"/>
        <v>-0.33000000000015461</v>
      </c>
      <c r="T26">
        <f t="shared" si="12"/>
        <v>561.96599999999989</v>
      </c>
      <c r="U26">
        <f t="shared" si="13"/>
        <v>29.545999999999935</v>
      </c>
      <c r="V26">
        <f t="shared" si="14"/>
        <v>280.98299999999995</v>
      </c>
      <c r="W26">
        <f t="shared" si="15"/>
        <v>14.772999999999968</v>
      </c>
      <c r="X26">
        <f t="shared" si="16"/>
        <v>140.49149999999997</v>
      </c>
      <c r="Y26">
        <f t="shared" si="17"/>
        <v>7.3864999999999839</v>
      </c>
    </row>
    <row r="27" spans="1:25" x14ac:dyDescent="0.3">
      <c r="A27" t="s">
        <v>54</v>
      </c>
      <c r="B27">
        <v>1476.1</v>
      </c>
      <c r="C27">
        <v>1477</v>
      </c>
      <c r="D27">
        <v>1475</v>
      </c>
      <c r="E27">
        <v>1477</v>
      </c>
      <c r="F27">
        <v>31813</v>
      </c>
      <c r="G27">
        <v>0</v>
      </c>
      <c r="H27">
        <f t="shared" si="0"/>
        <v>1475.6</v>
      </c>
      <c r="I27">
        <f t="shared" si="1"/>
        <v>1477</v>
      </c>
      <c r="J27">
        <f t="shared" si="2"/>
        <v>1475</v>
      </c>
      <c r="K27">
        <f t="shared" si="3"/>
        <v>2</v>
      </c>
      <c r="L27">
        <f t="shared" si="4"/>
        <v>0.5</v>
      </c>
      <c r="M27" t="str">
        <f t="shared" si="5"/>
        <v>UP</v>
      </c>
      <c r="N27">
        <f t="shared" si="6"/>
        <v>1.4000000000000909</v>
      </c>
      <c r="O27">
        <f t="shared" si="7"/>
        <v>0.20000000000004547</v>
      </c>
      <c r="P27">
        <f t="shared" si="8"/>
        <v>-1.0999999999999091</v>
      </c>
      <c r="Q27">
        <f t="shared" si="9"/>
        <v>1477</v>
      </c>
      <c r="R27">
        <f t="shared" si="10"/>
        <v>1477.58</v>
      </c>
      <c r="S27">
        <f t="shared" si="11"/>
        <v>-0.11000000000012733</v>
      </c>
      <c r="T27">
        <f t="shared" si="12"/>
        <v>532.41999999999996</v>
      </c>
      <c r="U27">
        <f t="shared" si="13"/>
        <v>29.539999999999964</v>
      </c>
      <c r="V27">
        <f t="shared" si="14"/>
        <v>266.20999999999998</v>
      </c>
      <c r="W27">
        <f t="shared" si="15"/>
        <v>14.769999999999982</v>
      </c>
      <c r="X27">
        <f t="shared" si="16"/>
        <v>133.10499999999999</v>
      </c>
      <c r="Y27">
        <f t="shared" si="17"/>
        <v>7.3849999999999909</v>
      </c>
    </row>
    <row r="28" spans="1:25" x14ac:dyDescent="0.3">
      <c r="A28" t="s">
        <v>55</v>
      </c>
      <c r="B28">
        <v>1476.3</v>
      </c>
      <c r="C28">
        <v>1477</v>
      </c>
      <c r="D28">
        <v>1475.2</v>
      </c>
      <c r="E28">
        <v>1475.6</v>
      </c>
      <c r="F28">
        <v>30990</v>
      </c>
      <c r="G28">
        <v>0</v>
      </c>
      <c r="H28">
        <f t="shared" si="0"/>
        <v>1475.6</v>
      </c>
      <c r="I28">
        <f t="shared" si="1"/>
        <v>1477</v>
      </c>
      <c r="J28">
        <f t="shared" si="2"/>
        <v>1475.2</v>
      </c>
      <c r="K28">
        <f t="shared" si="3"/>
        <v>1.7999999999999545</v>
      </c>
      <c r="L28">
        <f t="shared" si="4"/>
        <v>0.70000000000004547</v>
      </c>
      <c r="M28" t="str">
        <f t="shared" si="5"/>
        <v>DOWN</v>
      </c>
      <c r="N28">
        <f t="shared" si="6"/>
        <v>0</v>
      </c>
      <c r="O28">
        <f t="shared" si="7"/>
        <v>-4.3000000000001819</v>
      </c>
      <c r="P28">
        <f t="shared" si="8"/>
        <v>-1.4000000000000909</v>
      </c>
      <c r="Q28">
        <f t="shared" si="9"/>
        <v>1475.6</v>
      </c>
      <c r="R28">
        <f t="shared" si="10"/>
        <v>1477.69</v>
      </c>
      <c r="S28">
        <f t="shared" si="11"/>
        <v>-0.14000000000010004</v>
      </c>
      <c r="T28">
        <f t="shared" si="12"/>
        <v>502.88</v>
      </c>
      <c r="U28">
        <f t="shared" si="13"/>
        <v>29.511999999999944</v>
      </c>
      <c r="V28">
        <f t="shared" si="14"/>
        <v>251.44</v>
      </c>
      <c r="W28">
        <f t="shared" si="15"/>
        <v>14.755999999999972</v>
      </c>
      <c r="X28">
        <f t="shared" si="16"/>
        <v>125.72</v>
      </c>
      <c r="Y28">
        <f t="shared" si="17"/>
        <v>7.3779999999999859</v>
      </c>
    </row>
    <row r="29" spans="1:25" x14ac:dyDescent="0.3">
      <c r="A29" t="s">
        <v>56</v>
      </c>
      <c r="B29">
        <v>1474.8</v>
      </c>
      <c r="C29">
        <v>1477</v>
      </c>
      <c r="D29">
        <v>1474.6</v>
      </c>
      <c r="E29">
        <v>1475.6</v>
      </c>
      <c r="F29">
        <v>27397</v>
      </c>
      <c r="G29">
        <v>0</v>
      </c>
      <c r="H29">
        <f t="shared" si="0"/>
        <v>1474.9</v>
      </c>
      <c r="I29">
        <f t="shared" si="1"/>
        <v>1477</v>
      </c>
      <c r="J29">
        <f t="shared" si="2"/>
        <v>1474.6</v>
      </c>
      <c r="K29">
        <f t="shared" si="3"/>
        <v>2.4000000000000909</v>
      </c>
      <c r="L29">
        <f t="shared" si="4"/>
        <v>-0.10000000000013642</v>
      </c>
      <c r="M29" t="str">
        <f t="shared" si="5"/>
        <v>UP</v>
      </c>
      <c r="N29">
        <f t="shared" si="6"/>
        <v>0.6999999999998181</v>
      </c>
      <c r="O29">
        <f t="shared" si="7"/>
        <v>-3.8000000000001819</v>
      </c>
      <c r="P29">
        <f t="shared" si="8"/>
        <v>-1.4000000000000909</v>
      </c>
      <c r="Q29">
        <f t="shared" si="9"/>
        <v>1475.6</v>
      </c>
      <c r="R29">
        <f t="shared" si="10"/>
        <v>1477.8300000000002</v>
      </c>
      <c r="S29">
        <f t="shared" si="11"/>
        <v>-0.13999999999987267</v>
      </c>
      <c r="T29">
        <f t="shared" si="12"/>
        <v>473.36800000000005</v>
      </c>
      <c r="U29">
        <f t="shared" si="13"/>
        <v>29.512000000000057</v>
      </c>
      <c r="V29">
        <f t="shared" si="14"/>
        <v>236.68400000000003</v>
      </c>
      <c r="W29">
        <f t="shared" si="15"/>
        <v>14.756000000000029</v>
      </c>
      <c r="X29">
        <f t="shared" si="16"/>
        <v>118.34200000000001</v>
      </c>
      <c r="Y29">
        <f t="shared" si="17"/>
        <v>7.3780000000000143</v>
      </c>
    </row>
    <row r="30" spans="1:25" x14ac:dyDescent="0.3">
      <c r="A30" t="s">
        <v>57</v>
      </c>
      <c r="B30">
        <v>1476.6</v>
      </c>
      <c r="C30">
        <v>1477.4</v>
      </c>
      <c r="D30">
        <v>1474.1</v>
      </c>
      <c r="E30">
        <v>1474.9</v>
      </c>
      <c r="F30">
        <v>49370</v>
      </c>
      <c r="G30">
        <v>0</v>
      </c>
      <c r="H30">
        <f t="shared" si="0"/>
        <v>1476.6</v>
      </c>
      <c r="I30">
        <f t="shared" si="1"/>
        <v>1477.4</v>
      </c>
      <c r="J30">
        <f t="shared" si="2"/>
        <v>1474.1</v>
      </c>
      <c r="K30">
        <f t="shared" si="3"/>
        <v>3.3000000000001819</v>
      </c>
      <c r="L30">
        <f t="shared" si="4"/>
        <v>0</v>
      </c>
      <c r="M30" t="str">
        <f t="shared" si="5"/>
        <v>DOWN</v>
      </c>
      <c r="N30">
        <f t="shared" si="6"/>
        <v>-1.6999999999998181</v>
      </c>
      <c r="O30">
        <f t="shared" si="7"/>
        <v>-4.5</v>
      </c>
      <c r="P30">
        <f t="shared" si="8"/>
        <v>-3.0999999999999091</v>
      </c>
      <c r="Q30">
        <f t="shared" si="9"/>
        <v>1474.9</v>
      </c>
      <c r="R30">
        <f t="shared" si="10"/>
        <v>1477.97</v>
      </c>
      <c r="S30">
        <f t="shared" si="11"/>
        <v>-0.30999999999994543</v>
      </c>
      <c r="T30">
        <f t="shared" si="12"/>
        <v>443.85599999999999</v>
      </c>
      <c r="U30">
        <f t="shared" si="13"/>
        <v>29.498000000000047</v>
      </c>
      <c r="V30">
        <f t="shared" si="14"/>
        <v>221.928</v>
      </c>
      <c r="W30">
        <f t="shared" si="15"/>
        <v>14.749000000000024</v>
      </c>
      <c r="X30">
        <f t="shared" si="16"/>
        <v>110.964</v>
      </c>
      <c r="Y30">
        <f t="shared" si="17"/>
        <v>7.3745000000000118</v>
      </c>
    </row>
    <row r="31" spans="1:25" x14ac:dyDescent="0.3">
      <c r="A31" t="s">
        <v>58</v>
      </c>
      <c r="B31">
        <v>1476.6</v>
      </c>
      <c r="C31">
        <v>1479</v>
      </c>
      <c r="D31">
        <v>1476.2</v>
      </c>
      <c r="E31">
        <v>1476.6</v>
      </c>
      <c r="F31">
        <v>28438</v>
      </c>
      <c r="G31">
        <v>0</v>
      </c>
      <c r="H31">
        <f t="shared" si="0"/>
        <v>1476.8</v>
      </c>
      <c r="I31">
        <f t="shared" si="1"/>
        <v>1479</v>
      </c>
      <c r="J31">
        <f t="shared" si="2"/>
        <v>1476.2</v>
      </c>
      <c r="K31">
        <f t="shared" si="3"/>
        <v>2.7999999999999545</v>
      </c>
      <c r="L31">
        <f t="shared" si="4"/>
        <v>-0.20000000000004547</v>
      </c>
      <c r="M31" t="str">
        <f t="shared" si="5"/>
        <v>DOWN</v>
      </c>
      <c r="N31">
        <f t="shared" si="6"/>
        <v>-0.20000000000004547</v>
      </c>
      <c r="O31">
        <f t="shared" si="7"/>
        <v>-4</v>
      </c>
      <c r="P31">
        <f t="shared" si="8"/>
        <v>-6.9000000000000909</v>
      </c>
      <c r="Q31">
        <f t="shared" si="9"/>
        <v>1476.6</v>
      </c>
      <c r="R31">
        <f t="shared" si="10"/>
        <v>1478.28</v>
      </c>
      <c r="S31">
        <f t="shared" si="11"/>
        <v>-0.69000000000005457</v>
      </c>
      <c r="T31">
        <f t="shared" si="12"/>
        <v>414.35799999999995</v>
      </c>
      <c r="U31">
        <f t="shared" si="13"/>
        <v>29.531999999999869</v>
      </c>
      <c r="V31">
        <f t="shared" si="14"/>
        <v>207.17899999999997</v>
      </c>
      <c r="W31">
        <f t="shared" si="15"/>
        <v>14.765999999999934</v>
      </c>
      <c r="X31">
        <f t="shared" si="16"/>
        <v>103.58949999999999</v>
      </c>
      <c r="Y31">
        <f t="shared" si="17"/>
        <v>7.3829999999999671</v>
      </c>
    </row>
    <row r="32" spans="1:25" x14ac:dyDescent="0.3">
      <c r="A32" t="s">
        <v>59</v>
      </c>
      <c r="B32">
        <v>1479.9</v>
      </c>
      <c r="C32">
        <v>1480.4</v>
      </c>
      <c r="D32">
        <v>1476.3</v>
      </c>
      <c r="E32">
        <v>1476.8</v>
      </c>
      <c r="F32">
        <v>30759</v>
      </c>
      <c r="G32">
        <v>0</v>
      </c>
      <c r="H32">
        <f t="shared" si="0"/>
        <v>1479.9</v>
      </c>
      <c r="I32">
        <f t="shared" si="1"/>
        <v>1480.4</v>
      </c>
      <c r="J32">
        <f t="shared" si="2"/>
        <v>1476.3</v>
      </c>
      <c r="K32">
        <f t="shared" si="3"/>
        <v>4.1000000000001364</v>
      </c>
      <c r="L32">
        <f t="shared" si="4"/>
        <v>0</v>
      </c>
      <c r="M32" t="str">
        <f t="shared" si="5"/>
        <v>DOWN</v>
      </c>
      <c r="N32">
        <f t="shared" si="6"/>
        <v>-3.1000000000001364</v>
      </c>
      <c r="O32">
        <f t="shared" si="7"/>
        <v>-1.2999999999999545</v>
      </c>
      <c r="P32">
        <f t="shared" si="8"/>
        <v>-4.7999999999999545</v>
      </c>
      <c r="Q32">
        <f t="shared" si="9"/>
        <v>1476.8</v>
      </c>
      <c r="R32">
        <f t="shared" si="10"/>
        <v>1478.97</v>
      </c>
      <c r="S32">
        <f t="shared" si="11"/>
        <v>-0.48000000000024556</v>
      </c>
      <c r="T32">
        <f t="shared" si="12"/>
        <v>384.82600000000008</v>
      </c>
      <c r="U32">
        <f t="shared" si="13"/>
        <v>29.536000000000058</v>
      </c>
      <c r="V32">
        <f t="shared" si="14"/>
        <v>192.41300000000004</v>
      </c>
      <c r="W32">
        <f t="shared" si="15"/>
        <v>14.768000000000029</v>
      </c>
      <c r="X32">
        <f t="shared" si="16"/>
        <v>96.20650000000002</v>
      </c>
      <c r="Y32">
        <f t="shared" si="17"/>
        <v>7.3840000000000146</v>
      </c>
    </row>
    <row r="33" spans="1:25" x14ac:dyDescent="0.3">
      <c r="A33" t="s">
        <v>60</v>
      </c>
      <c r="B33">
        <v>1479.4</v>
      </c>
      <c r="C33">
        <v>1480.5</v>
      </c>
      <c r="D33">
        <v>1478.7</v>
      </c>
      <c r="E33">
        <v>1479.9</v>
      </c>
      <c r="F33">
        <v>22127</v>
      </c>
      <c r="G33">
        <v>0</v>
      </c>
      <c r="H33">
        <f t="shared" si="0"/>
        <v>1479.4</v>
      </c>
      <c r="I33">
        <f t="shared" si="1"/>
        <v>1480.5</v>
      </c>
      <c r="J33">
        <f t="shared" si="2"/>
        <v>1478.7</v>
      </c>
      <c r="K33">
        <f t="shared" si="3"/>
        <v>1.7999999999999545</v>
      </c>
      <c r="L33">
        <f t="shared" si="4"/>
        <v>0</v>
      </c>
      <c r="M33" t="str">
        <f t="shared" si="5"/>
        <v>UP</v>
      </c>
      <c r="N33">
        <f t="shared" si="6"/>
        <v>0.5</v>
      </c>
      <c r="O33">
        <f t="shared" si="7"/>
        <v>2.9000000000000909</v>
      </c>
      <c r="P33">
        <f t="shared" si="8"/>
        <v>-3.3999999999998636</v>
      </c>
      <c r="Q33">
        <f t="shared" si="9"/>
        <v>1479.9</v>
      </c>
      <c r="R33">
        <f t="shared" si="10"/>
        <v>1479.4500000000003</v>
      </c>
      <c r="S33">
        <f t="shared" si="11"/>
        <v>-0.33999999999969077</v>
      </c>
      <c r="T33">
        <f t="shared" si="12"/>
        <v>355.29</v>
      </c>
      <c r="U33">
        <f t="shared" si="13"/>
        <v>29.598000000000013</v>
      </c>
      <c r="V33">
        <f t="shared" si="14"/>
        <v>177.64500000000001</v>
      </c>
      <c r="W33">
        <f t="shared" si="15"/>
        <v>14.799000000000007</v>
      </c>
      <c r="X33">
        <f t="shared" si="16"/>
        <v>88.822500000000005</v>
      </c>
      <c r="Y33">
        <f t="shared" si="17"/>
        <v>7.3995000000000033</v>
      </c>
    </row>
    <row r="34" spans="1:25" x14ac:dyDescent="0.3">
      <c r="A34" t="s">
        <v>61</v>
      </c>
      <c r="B34">
        <v>1479</v>
      </c>
      <c r="C34">
        <v>1480.5</v>
      </c>
      <c r="D34">
        <v>1477.3</v>
      </c>
      <c r="E34">
        <v>1479.4</v>
      </c>
      <c r="F34">
        <v>48197</v>
      </c>
      <c r="G34">
        <v>0</v>
      </c>
      <c r="H34">
        <f t="shared" ref="H34:H65" si="18">E35</f>
        <v>1479.4</v>
      </c>
      <c r="I34">
        <f t="shared" ref="I34:I65" si="19">MAX(C34,H34)</f>
        <v>1480.5</v>
      </c>
      <c r="J34">
        <f t="shared" ref="J34:J65" si="20">MIN(D34,H34)</f>
        <v>1477.3</v>
      </c>
      <c r="K34">
        <f t="shared" ref="K34:K65" si="21">I34-J34</f>
        <v>3.2000000000000455</v>
      </c>
      <c r="L34">
        <f t="shared" ref="L34:L65" si="22">B34-E35</f>
        <v>-0.40000000000009095</v>
      </c>
      <c r="M34" t="str">
        <f t="shared" ref="M34:M65" si="23">IF(E34&gt;E35,"UP","DOWN")</f>
        <v>DOWN</v>
      </c>
      <c r="N34">
        <f t="shared" ref="N34:N65" si="24">E34-E35</f>
        <v>0</v>
      </c>
      <c r="O34">
        <f t="shared" si="7"/>
        <v>2.4000000000000909</v>
      </c>
      <c r="P34">
        <f t="shared" si="8"/>
        <v>-7.2999999999999545</v>
      </c>
      <c r="Q34">
        <f t="shared" ref="Q34:Q65" si="25">SUM(N34:N83)</f>
        <v>1479.4</v>
      </c>
      <c r="R34">
        <f t="shared" si="10"/>
        <v>1479.79</v>
      </c>
      <c r="S34">
        <f t="shared" si="11"/>
        <v>-0.73000000000001819</v>
      </c>
      <c r="T34">
        <f t="shared" si="12"/>
        <v>325.69200000000001</v>
      </c>
      <c r="U34">
        <f t="shared" si="13"/>
        <v>29.587999999999965</v>
      </c>
      <c r="V34">
        <f t="shared" ref="V34:V65" si="26">SUM(E34:E133)/100</f>
        <v>162.846</v>
      </c>
      <c r="W34">
        <f t="shared" ref="W34:W65" si="27">V34-V35</f>
        <v>14.793999999999983</v>
      </c>
      <c r="X34">
        <f t="shared" ref="X34:X65" si="28">SUM(E34:E233)/200</f>
        <v>81.423000000000002</v>
      </c>
      <c r="Y34">
        <f t="shared" si="17"/>
        <v>7.3969999999999914</v>
      </c>
    </row>
    <row r="35" spans="1:25" x14ac:dyDescent="0.3">
      <c r="A35" t="s">
        <v>62</v>
      </c>
      <c r="B35">
        <v>1480</v>
      </c>
      <c r="C35">
        <v>1481.4</v>
      </c>
      <c r="D35">
        <v>1479</v>
      </c>
      <c r="E35">
        <v>1479.4</v>
      </c>
      <c r="F35">
        <v>25478</v>
      </c>
      <c r="G35">
        <v>0</v>
      </c>
      <c r="H35">
        <f t="shared" si="18"/>
        <v>1480.6</v>
      </c>
      <c r="I35">
        <f t="shared" si="19"/>
        <v>1481.4</v>
      </c>
      <c r="J35">
        <f t="shared" si="20"/>
        <v>1479</v>
      </c>
      <c r="K35">
        <f t="shared" si="21"/>
        <v>2.4000000000000909</v>
      </c>
      <c r="L35">
        <f t="shared" si="22"/>
        <v>-0.59999999999990905</v>
      </c>
      <c r="M35" t="str">
        <f t="shared" si="23"/>
        <v>DOWN</v>
      </c>
      <c r="N35">
        <f t="shared" si="24"/>
        <v>-1.1999999999998181</v>
      </c>
      <c r="O35">
        <f t="shared" si="7"/>
        <v>1.4000000000000909</v>
      </c>
      <c r="P35">
        <f t="shared" si="8"/>
        <v>1479.4</v>
      </c>
      <c r="Q35">
        <f t="shared" si="25"/>
        <v>1479.4</v>
      </c>
      <c r="R35">
        <f t="shared" si="10"/>
        <v>1480.52</v>
      </c>
      <c r="S35">
        <f t="shared" si="11"/>
        <v>147.93999999999983</v>
      </c>
      <c r="T35">
        <f t="shared" si="12"/>
        <v>296.10400000000004</v>
      </c>
      <c r="U35">
        <f t="shared" si="13"/>
        <v>29.588000000000022</v>
      </c>
      <c r="V35">
        <f t="shared" si="26"/>
        <v>148.05200000000002</v>
      </c>
      <c r="W35">
        <f t="shared" si="27"/>
        <v>14.794000000000011</v>
      </c>
      <c r="X35">
        <f t="shared" si="28"/>
        <v>74.02600000000001</v>
      </c>
      <c r="Y35">
        <f t="shared" si="17"/>
        <v>7.3970000000000056</v>
      </c>
    </row>
    <row r="36" spans="1:25" x14ac:dyDescent="0.3">
      <c r="A36" t="s">
        <v>63</v>
      </c>
      <c r="B36">
        <v>1478.1</v>
      </c>
      <c r="C36">
        <v>1480.6</v>
      </c>
      <c r="D36">
        <v>1477.7</v>
      </c>
      <c r="E36">
        <v>1480.6</v>
      </c>
      <c r="F36">
        <v>29472</v>
      </c>
      <c r="G36">
        <v>0</v>
      </c>
      <c r="H36">
        <f t="shared" si="18"/>
        <v>1478.1</v>
      </c>
      <c r="I36">
        <f t="shared" si="19"/>
        <v>1480.6</v>
      </c>
      <c r="J36">
        <f t="shared" si="20"/>
        <v>1477.7</v>
      </c>
      <c r="K36">
        <f t="shared" si="21"/>
        <v>2.8999999999998636</v>
      </c>
      <c r="L36">
        <f t="shared" si="22"/>
        <v>0</v>
      </c>
      <c r="M36" t="str">
        <f t="shared" si="23"/>
        <v>UP</v>
      </c>
      <c r="N36">
        <f t="shared" si="24"/>
        <v>2.5</v>
      </c>
      <c r="O36">
        <f t="shared" si="7"/>
        <v>-2.9000000000000909</v>
      </c>
      <c r="P36">
        <f t="shared" si="8"/>
        <v>1480.6</v>
      </c>
      <c r="Q36">
        <f t="shared" si="25"/>
        <v>1480.6</v>
      </c>
      <c r="R36">
        <f t="shared" si="10"/>
        <v>1332.5800000000002</v>
      </c>
      <c r="S36">
        <f t="shared" si="11"/>
        <v>148.06000000000017</v>
      </c>
      <c r="T36">
        <f t="shared" si="12"/>
        <v>266.51600000000002</v>
      </c>
      <c r="U36">
        <f t="shared" si="13"/>
        <v>29.611999999999995</v>
      </c>
      <c r="V36">
        <f t="shared" si="26"/>
        <v>133.25800000000001</v>
      </c>
      <c r="W36">
        <f t="shared" si="27"/>
        <v>14.805999999999997</v>
      </c>
      <c r="X36">
        <f t="shared" si="28"/>
        <v>66.629000000000005</v>
      </c>
      <c r="Y36">
        <f t="shared" si="17"/>
        <v>7.4029999999999987</v>
      </c>
    </row>
    <row r="37" spans="1:25" x14ac:dyDescent="0.3">
      <c r="A37" t="s">
        <v>64</v>
      </c>
      <c r="B37">
        <v>1477.1</v>
      </c>
      <c r="C37">
        <v>1479</v>
      </c>
      <c r="D37">
        <v>1475.5</v>
      </c>
      <c r="E37">
        <v>1478.1</v>
      </c>
      <c r="F37">
        <v>39560</v>
      </c>
      <c r="G37">
        <v>0</v>
      </c>
      <c r="H37">
        <f t="shared" si="18"/>
        <v>1477</v>
      </c>
      <c r="I37">
        <f t="shared" si="19"/>
        <v>1479</v>
      </c>
      <c r="J37">
        <f t="shared" si="20"/>
        <v>1475.5</v>
      </c>
      <c r="K37">
        <f t="shared" si="21"/>
        <v>3.5</v>
      </c>
      <c r="L37">
        <f t="shared" si="22"/>
        <v>9.9999999999909051E-2</v>
      </c>
      <c r="M37" t="str">
        <f t="shared" si="23"/>
        <v>UP</v>
      </c>
      <c r="N37">
        <f t="shared" si="24"/>
        <v>1.0999999999999091</v>
      </c>
      <c r="O37">
        <f t="shared" si="7"/>
        <v>-3.5</v>
      </c>
      <c r="P37">
        <f t="shared" si="8"/>
        <v>1478.1</v>
      </c>
      <c r="Q37">
        <f t="shared" si="25"/>
        <v>1478.1</v>
      </c>
      <c r="R37">
        <f t="shared" si="10"/>
        <v>1184.52</v>
      </c>
      <c r="S37">
        <f t="shared" si="11"/>
        <v>147.80999999999995</v>
      </c>
      <c r="T37">
        <f t="shared" si="12"/>
        <v>236.90400000000002</v>
      </c>
      <c r="U37">
        <f t="shared" si="13"/>
        <v>29.562000000000012</v>
      </c>
      <c r="V37">
        <f t="shared" si="26"/>
        <v>118.45200000000001</v>
      </c>
      <c r="W37">
        <f t="shared" si="27"/>
        <v>14.781000000000006</v>
      </c>
      <c r="X37">
        <f t="shared" si="28"/>
        <v>59.226000000000006</v>
      </c>
      <c r="Y37">
        <f t="shared" si="17"/>
        <v>7.390500000000003</v>
      </c>
    </row>
    <row r="38" spans="1:25" x14ac:dyDescent="0.3">
      <c r="A38" t="s">
        <v>65</v>
      </c>
      <c r="B38">
        <v>1477</v>
      </c>
      <c r="C38">
        <v>1480</v>
      </c>
      <c r="D38">
        <v>1477</v>
      </c>
      <c r="E38">
        <v>1477</v>
      </c>
      <c r="F38">
        <v>43283</v>
      </c>
      <c r="G38">
        <v>0</v>
      </c>
      <c r="H38">
        <f t="shared" si="18"/>
        <v>1477</v>
      </c>
      <c r="I38">
        <f t="shared" si="19"/>
        <v>1480</v>
      </c>
      <c r="J38">
        <f t="shared" si="20"/>
        <v>1477</v>
      </c>
      <c r="K38">
        <f t="shared" si="21"/>
        <v>3</v>
      </c>
      <c r="L38">
        <f t="shared" si="22"/>
        <v>0</v>
      </c>
      <c r="M38" t="str">
        <f t="shared" si="23"/>
        <v>DOWN</v>
      </c>
      <c r="N38">
        <f t="shared" si="24"/>
        <v>0</v>
      </c>
      <c r="O38">
        <f t="shared" si="7"/>
        <v>-6.2999999999999545</v>
      </c>
      <c r="P38">
        <f t="shared" si="8"/>
        <v>1477</v>
      </c>
      <c r="Q38">
        <f t="shared" si="25"/>
        <v>1477</v>
      </c>
      <c r="R38">
        <f t="shared" si="10"/>
        <v>1036.71</v>
      </c>
      <c r="S38">
        <f t="shared" si="11"/>
        <v>147.70000000000005</v>
      </c>
      <c r="T38">
        <f t="shared" si="12"/>
        <v>207.34200000000001</v>
      </c>
      <c r="U38">
        <f t="shared" si="13"/>
        <v>29.539999999999992</v>
      </c>
      <c r="V38">
        <f t="shared" si="26"/>
        <v>103.67100000000001</v>
      </c>
      <c r="W38">
        <f t="shared" si="27"/>
        <v>14.769999999999996</v>
      </c>
      <c r="X38">
        <f t="shared" si="28"/>
        <v>51.835500000000003</v>
      </c>
      <c r="Y38">
        <f t="shared" si="17"/>
        <v>7.384999999999998</v>
      </c>
    </row>
    <row r="39" spans="1:25" x14ac:dyDescent="0.3">
      <c r="A39" t="s">
        <v>66</v>
      </c>
      <c r="B39">
        <v>1478.1</v>
      </c>
      <c r="C39">
        <v>1479.5</v>
      </c>
      <c r="D39">
        <v>1475.1</v>
      </c>
      <c r="E39">
        <v>1477</v>
      </c>
      <c r="F39">
        <v>86867</v>
      </c>
      <c r="G39">
        <v>0</v>
      </c>
      <c r="H39">
        <f t="shared" si="18"/>
        <v>1478</v>
      </c>
      <c r="I39">
        <f t="shared" si="19"/>
        <v>1479.5</v>
      </c>
      <c r="J39">
        <f t="shared" si="20"/>
        <v>1475.1</v>
      </c>
      <c r="K39">
        <f t="shared" si="21"/>
        <v>4.4000000000000909</v>
      </c>
      <c r="L39">
        <f t="shared" si="22"/>
        <v>9.9999999999909051E-2</v>
      </c>
      <c r="M39" t="str">
        <f t="shared" si="23"/>
        <v>DOWN</v>
      </c>
      <c r="N39">
        <f t="shared" si="24"/>
        <v>-1</v>
      </c>
      <c r="O39">
        <f t="shared" si="7"/>
        <v>-9.7000000000000455</v>
      </c>
      <c r="P39">
        <f t="shared" si="8"/>
        <v>1477</v>
      </c>
      <c r="Q39">
        <f t="shared" si="25"/>
        <v>1477</v>
      </c>
      <c r="R39">
        <f t="shared" si="10"/>
        <v>889.01</v>
      </c>
      <c r="S39">
        <f t="shared" si="11"/>
        <v>147.69999999999993</v>
      </c>
      <c r="T39">
        <f t="shared" si="12"/>
        <v>177.80200000000002</v>
      </c>
      <c r="U39">
        <f t="shared" si="13"/>
        <v>29.54000000000002</v>
      </c>
      <c r="V39">
        <f t="shared" si="26"/>
        <v>88.90100000000001</v>
      </c>
      <c r="W39">
        <f t="shared" si="27"/>
        <v>14.77000000000001</v>
      </c>
      <c r="X39">
        <f t="shared" si="28"/>
        <v>44.450500000000005</v>
      </c>
      <c r="Y39">
        <f t="shared" si="17"/>
        <v>7.3850000000000051</v>
      </c>
    </row>
    <row r="40" spans="1:25" x14ac:dyDescent="0.3">
      <c r="A40" t="s">
        <v>67</v>
      </c>
      <c r="B40">
        <v>1483.5</v>
      </c>
      <c r="C40">
        <v>1484</v>
      </c>
      <c r="D40">
        <v>1478</v>
      </c>
      <c r="E40">
        <v>1478</v>
      </c>
      <c r="F40">
        <v>90822</v>
      </c>
      <c r="G40">
        <v>0</v>
      </c>
      <c r="H40">
        <f t="shared" si="18"/>
        <v>1483.5</v>
      </c>
      <c r="I40">
        <f t="shared" si="19"/>
        <v>1484</v>
      </c>
      <c r="J40">
        <f t="shared" si="20"/>
        <v>1478</v>
      </c>
      <c r="K40">
        <f t="shared" si="21"/>
        <v>6</v>
      </c>
      <c r="L40">
        <f t="shared" si="22"/>
        <v>0</v>
      </c>
      <c r="M40" t="str">
        <f t="shared" si="23"/>
        <v>DOWN</v>
      </c>
      <c r="N40">
        <f t="shared" si="24"/>
        <v>-5.5</v>
      </c>
      <c r="O40">
        <f t="shared" si="7"/>
        <v>1478</v>
      </c>
      <c r="P40">
        <f t="shared" si="8"/>
        <v>1478</v>
      </c>
      <c r="Q40">
        <f t="shared" si="25"/>
        <v>1478</v>
      </c>
      <c r="R40">
        <f t="shared" si="10"/>
        <v>741.31000000000006</v>
      </c>
      <c r="S40">
        <f t="shared" si="11"/>
        <v>147.80000000000007</v>
      </c>
      <c r="T40">
        <f t="shared" si="12"/>
        <v>148.262</v>
      </c>
      <c r="U40">
        <f t="shared" si="13"/>
        <v>29.560000000000016</v>
      </c>
      <c r="V40">
        <f t="shared" si="26"/>
        <v>74.131</v>
      </c>
      <c r="W40">
        <f t="shared" si="27"/>
        <v>14.780000000000008</v>
      </c>
      <c r="X40">
        <f t="shared" si="28"/>
        <v>37.0655</v>
      </c>
    </row>
    <row r="41" spans="1:25" x14ac:dyDescent="0.3">
      <c r="A41" t="s">
        <v>68</v>
      </c>
      <c r="B41">
        <v>1481.3</v>
      </c>
      <c r="C41">
        <v>1485</v>
      </c>
      <c r="D41">
        <v>1481.3</v>
      </c>
      <c r="E41">
        <v>1483.5</v>
      </c>
      <c r="F41">
        <v>34667</v>
      </c>
      <c r="G41">
        <v>0</v>
      </c>
      <c r="H41">
        <f t="shared" si="18"/>
        <v>1481.6</v>
      </c>
      <c r="I41">
        <f t="shared" si="19"/>
        <v>1485</v>
      </c>
      <c r="J41">
        <f t="shared" si="20"/>
        <v>1481.3</v>
      </c>
      <c r="K41">
        <f t="shared" si="21"/>
        <v>3.7000000000000455</v>
      </c>
      <c r="L41">
        <f t="shared" si="22"/>
        <v>-0.29999999999995453</v>
      </c>
      <c r="M41" t="str">
        <f t="shared" si="23"/>
        <v>UP</v>
      </c>
      <c r="N41">
        <f t="shared" si="24"/>
        <v>1.9000000000000909</v>
      </c>
      <c r="O41">
        <f t="shared" si="7"/>
        <v>1483.5</v>
      </c>
      <c r="P41">
        <f t="shared" si="8"/>
        <v>1483.5</v>
      </c>
      <c r="Q41">
        <f t="shared" si="25"/>
        <v>1483.5</v>
      </c>
      <c r="R41">
        <f t="shared" si="10"/>
        <v>593.51</v>
      </c>
      <c r="S41">
        <f t="shared" si="11"/>
        <v>148.35000000000002</v>
      </c>
      <c r="T41">
        <f t="shared" si="12"/>
        <v>118.70199999999998</v>
      </c>
      <c r="U41">
        <f t="shared" si="13"/>
        <v>29.67</v>
      </c>
      <c r="V41">
        <f t="shared" si="26"/>
        <v>59.350999999999992</v>
      </c>
      <c r="W41">
        <f t="shared" si="27"/>
        <v>14.835000000000001</v>
      </c>
      <c r="X41">
        <f t="shared" si="28"/>
        <v>29.675499999999996</v>
      </c>
    </row>
    <row r="42" spans="1:25" x14ac:dyDescent="0.3">
      <c r="A42" t="s">
        <v>69</v>
      </c>
      <c r="B42">
        <v>1483.7</v>
      </c>
      <c r="C42">
        <v>1484.5</v>
      </c>
      <c r="D42">
        <v>1480</v>
      </c>
      <c r="E42">
        <v>1481.6</v>
      </c>
      <c r="F42">
        <v>65813</v>
      </c>
      <c r="G42">
        <v>0</v>
      </c>
      <c r="H42">
        <f t="shared" si="18"/>
        <v>1483.3</v>
      </c>
      <c r="I42">
        <f t="shared" si="19"/>
        <v>1484.5</v>
      </c>
      <c r="J42">
        <f t="shared" si="20"/>
        <v>1480</v>
      </c>
      <c r="K42">
        <f t="shared" si="21"/>
        <v>4.5</v>
      </c>
      <c r="L42">
        <f t="shared" si="22"/>
        <v>0.40000000000009095</v>
      </c>
      <c r="M42" t="str">
        <f t="shared" si="23"/>
        <v>DOWN</v>
      </c>
      <c r="N42">
        <f t="shared" si="24"/>
        <v>-1.7000000000000455</v>
      </c>
      <c r="O42">
        <f t="shared" si="7"/>
        <v>1481.6</v>
      </c>
      <c r="P42">
        <f t="shared" si="8"/>
        <v>1481.6</v>
      </c>
      <c r="Q42">
        <f t="shared" si="25"/>
        <v>1481.6</v>
      </c>
      <c r="R42">
        <f t="shared" si="10"/>
        <v>445.15999999999997</v>
      </c>
      <c r="S42">
        <f t="shared" si="11"/>
        <v>148.15999999999997</v>
      </c>
      <c r="T42">
        <f t="shared" si="12"/>
        <v>89.031999999999982</v>
      </c>
      <c r="U42">
        <f t="shared" si="13"/>
        <v>29.631999999999984</v>
      </c>
      <c r="V42">
        <f t="shared" si="26"/>
        <v>44.515999999999991</v>
      </c>
      <c r="W42">
        <f t="shared" si="27"/>
        <v>14.815999999999992</v>
      </c>
      <c r="X42">
        <f t="shared" si="28"/>
        <v>22.257999999999996</v>
      </c>
    </row>
    <row r="43" spans="1:25" x14ac:dyDescent="0.3">
      <c r="A43" t="s">
        <v>70</v>
      </c>
      <c r="B43">
        <v>1486.6</v>
      </c>
      <c r="C43">
        <v>1487</v>
      </c>
      <c r="D43">
        <v>1483.2</v>
      </c>
      <c r="E43">
        <v>1483.3</v>
      </c>
      <c r="F43">
        <v>71798</v>
      </c>
      <c r="G43">
        <v>0</v>
      </c>
      <c r="H43">
        <f t="shared" si="18"/>
        <v>1486.7</v>
      </c>
      <c r="I43">
        <f t="shared" si="19"/>
        <v>1487</v>
      </c>
      <c r="J43">
        <f t="shared" si="20"/>
        <v>1483.2</v>
      </c>
      <c r="K43">
        <f t="shared" si="21"/>
        <v>3.7999999999999545</v>
      </c>
      <c r="L43">
        <f t="shared" si="22"/>
        <v>-0.10000000000013642</v>
      </c>
      <c r="M43" t="str">
        <f t="shared" si="23"/>
        <v>DOWN</v>
      </c>
      <c r="N43">
        <f t="shared" si="24"/>
        <v>-3.4000000000000909</v>
      </c>
      <c r="O43">
        <f t="shared" si="7"/>
        <v>1483.3</v>
      </c>
      <c r="P43">
        <f t="shared" si="8"/>
        <v>1483.3</v>
      </c>
      <c r="Q43">
        <f t="shared" si="25"/>
        <v>1483.3</v>
      </c>
      <c r="R43">
        <f t="shared" si="10"/>
        <v>297</v>
      </c>
      <c r="S43">
        <f t="shared" si="11"/>
        <v>148.32999999999998</v>
      </c>
      <c r="T43">
        <f t="shared" si="12"/>
        <v>59.4</v>
      </c>
      <c r="U43">
        <f t="shared" si="13"/>
        <v>29.665999999999997</v>
      </c>
      <c r="V43">
        <f t="shared" si="26"/>
        <v>29.7</v>
      </c>
      <c r="W43">
        <f t="shared" si="27"/>
        <v>14.832999999999998</v>
      </c>
      <c r="X43">
        <f t="shared" si="28"/>
        <v>14.85</v>
      </c>
    </row>
    <row r="44" spans="1:25" x14ac:dyDescent="0.3">
      <c r="A44" t="s">
        <v>71</v>
      </c>
      <c r="B44">
        <v>1482</v>
      </c>
      <c r="C44">
        <v>1487.6</v>
      </c>
      <c r="D44">
        <v>1476.1</v>
      </c>
      <c r="E44">
        <v>1486.7</v>
      </c>
      <c r="F44">
        <v>151587</v>
      </c>
      <c r="G44">
        <v>0</v>
      </c>
      <c r="H44">
        <f t="shared" si="18"/>
        <v>0</v>
      </c>
      <c r="I44">
        <f t="shared" si="19"/>
        <v>1487.6</v>
      </c>
      <c r="J44">
        <f t="shared" si="20"/>
        <v>0</v>
      </c>
      <c r="K44">
        <f t="shared" si="21"/>
        <v>1487.6</v>
      </c>
      <c r="L44">
        <f t="shared" si="22"/>
        <v>1482</v>
      </c>
      <c r="M44" t="str">
        <f t="shared" si="23"/>
        <v>UP</v>
      </c>
      <c r="N44">
        <f t="shared" si="24"/>
        <v>1486.7</v>
      </c>
      <c r="O44">
        <f t="shared" si="7"/>
        <v>1486.7</v>
      </c>
      <c r="P44">
        <f t="shared" si="8"/>
        <v>1486.7</v>
      </c>
      <c r="Q44">
        <f t="shared" si="25"/>
        <v>1486.7</v>
      </c>
      <c r="R44">
        <f t="shared" si="10"/>
        <v>148.67000000000002</v>
      </c>
      <c r="S44">
        <f t="shared" si="11"/>
        <v>148.67000000000002</v>
      </c>
      <c r="T44">
        <f t="shared" si="12"/>
        <v>29.734000000000002</v>
      </c>
      <c r="U44">
        <f t="shared" si="13"/>
        <v>29.734000000000002</v>
      </c>
      <c r="V44">
        <f t="shared" si="26"/>
        <v>14.867000000000001</v>
      </c>
      <c r="W44">
        <f t="shared" si="27"/>
        <v>14.867000000000001</v>
      </c>
      <c r="X44">
        <f t="shared" si="28"/>
        <v>7.4335000000000004</v>
      </c>
    </row>
    <row r="45" spans="1:25" x14ac:dyDescent="0.3">
      <c r="H45">
        <f t="shared" si="18"/>
        <v>0</v>
      </c>
      <c r="I45">
        <f t="shared" si="19"/>
        <v>0</v>
      </c>
      <c r="J45">
        <f t="shared" si="20"/>
        <v>0</v>
      </c>
      <c r="K45">
        <f t="shared" si="21"/>
        <v>0</v>
      </c>
      <c r="L45">
        <f t="shared" si="22"/>
        <v>0</v>
      </c>
      <c r="M45" t="str">
        <f t="shared" si="23"/>
        <v>DOWN</v>
      </c>
      <c r="N45">
        <f t="shared" si="24"/>
        <v>0</v>
      </c>
      <c r="O45">
        <f t="shared" si="7"/>
        <v>0</v>
      </c>
      <c r="P45">
        <f t="shared" si="8"/>
        <v>0</v>
      </c>
      <c r="Q45">
        <f t="shared" si="25"/>
        <v>0</v>
      </c>
      <c r="R45">
        <f t="shared" si="10"/>
        <v>0</v>
      </c>
      <c r="S45">
        <f t="shared" si="11"/>
        <v>0</v>
      </c>
      <c r="T45">
        <f t="shared" si="12"/>
        <v>0</v>
      </c>
      <c r="U45">
        <f t="shared" si="13"/>
        <v>0</v>
      </c>
      <c r="V45">
        <f t="shared" si="26"/>
        <v>0</v>
      </c>
      <c r="W45">
        <f t="shared" si="27"/>
        <v>0</v>
      </c>
      <c r="X45">
        <f t="shared" si="28"/>
        <v>0</v>
      </c>
    </row>
    <row r="46" spans="1:25" x14ac:dyDescent="0.3">
      <c r="H46">
        <f t="shared" si="18"/>
        <v>0</v>
      </c>
      <c r="I46">
        <f t="shared" si="19"/>
        <v>0</v>
      </c>
      <c r="J46">
        <f t="shared" si="20"/>
        <v>0</v>
      </c>
      <c r="K46">
        <f t="shared" si="21"/>
        <v>0</v>
      </c>
      <c r="L46">
        <f t="shared" si="22"/>
        <v>0</v>
      </c>
      <c r="M46" t="str">
        <f t="shared" si="23"/>
        <v>DOWN</v>
      </c>
      <c r="N46">
        <f t="shared" si="24"/>
        <v>0</v>
      </c>
      <c r="O46">
        <f t="shared" si="7"/>
        <v>0</v>
      </c>
      <c r="P46">
        <f t="shared" si="8"/>
        <v>0</v>
      </c>
      <c r="Q46">
        <f t="shared" si="25"/>
        <v>0</v>
      </c>
      <c r="R46">
        <f t="shared" si="10"/>
        <v>0</v>
      </c>
      <c r="S46">
        <f t="shared" si="11"/>
        <v>0</v>
      </c>
      <c r="T46">
        <f t="shared" si="12"/>
        <v>0</v>
      </c>
      <c r="U46">
        <f t="shared" si="13"/>
        <v>0</v>
      </c>
      <c r="V46">
        <f t="shared" si="26"/>
        <v>0</v>
      </c>
      <c r="W46">
        <f t="shared" si="27"/>
        <v>0</v>
      </c>
      <c r="X46">
        <f t="shared" si="28"/>
        <v>0</v>
      </c>
    </row>
    <row r="47" spans="1:25" x14ac:dyDescent="0.3">
      <c r="H47">
        <f t="shared" si="18"/>
        <v>0</v>
      </c>
      <c r="I47">
        <f t="shared" si="19"/>
        <v>0</v>
      </c>
      <c r="J47">
        <f t="shared" si="20"/>
        <v>0</v>
      </c>
      <c r="K47">
        <f t="shared" si="21"/>
        <v>0</v>
      </c>
      <c r="L47">
        <f t="shared" si="22"/>
        <v>0</v>
      </c>
      <c r="M47" t="str">
        <f t="shared" si="23"/>
        <v>DOWN</v>
      </c>
      <c r="N47">
        <f t="shared" si="24"/>
        <v>0</v>
      </c>
      <c r="O47">
        <f t="shared" si="7"/>
        <v>0</v>
      </c>
      <c r="P47">
        <f t="shared" si="8"/>
        <v>0</v>
      </c>
      <c r="Q47">
        <f t="shared" si="25"/>
        <v>0</v>
      </c>
      <c r="R47">
        <f t="shared" si="10"/>
        <v>0</v>
      </c>
      <c r="S47">
        <f t="shared" si="11"/>
        <v>0</v>
      </c>
      <c r="T47">
        <f t="shared" si="12"/>
        <v>0</v>
      </c>
      <c r="U47">
        <f t="shared" si="13"/>
        <v>0</v>
      </c>
      <c r="V47">
        <f t="shared" si="26"/>
        <v>0</v>
      </c>
      <c r="W47">
        <f t="shared" si="27"/>
        <v>0</v>
      </c>
      <c r="X47">
        <f t="shared" si="28"/>
        <v>0</v>
      </c>
    </row>
    <row r="48" spans="1:25" x14ac:dyDescent="0.3">
      <c r="H48">
        <f t="shared" si="18"/>
        <v>0</v>
      </c>
      <c r="I48">
        <f t="shared" si="19"/>
        <v>0</v>
      </c>
      <c r="J48">
        <f t="shared" si="20"/>
        <v>0</v>
      </c>
      <c r="K48">
        <f t="shared" si="21"/>
        <v>0</v>
      </c>
      <c r="L48">
        <f t="shared" si="22"/>
        <v>0</v>
      </c>
      <c r="M48" t="str">
        <f t="shared" si="23"/>
        <v>DOWN</v>
      </c>
      <c r="N48">
        <f t="shared" si="24"/>
        <v>0</v>
      </c>
      <c r="O48">
        <f t="shared" si="7"/>
        <v>0</v>
      </c>
      <c r="P48">
        <f t="shared" si="8"/>
        <v>0</v>
      </c>
      <c r="Q48">
        <f t="shared" si="25"/>
        <v>0</v>
      </c>
      <c r="R48">
        <f t="shared" si="10"/>
        <v>0</v>
      </c>
      <c r="S48">
        <f t="shared" si="11"/>
        <v>0</v>
      </c>
      <c r="T48">
        <f t="shared" si="12"/>
        <v>0</v>
      </c>
      <c r="U48">
        <f t="shared" si="13"/>
        <v>0</v>
      </c>
      <c r="V48">
        <f t="shared" si="26"/>
        <v>0</v>
      </c>
      <c r="W48">
        <f t="shared" si="27"/>
        <v>0</v>
      </c>
      <c r="X48">
        <f t="shared" si="28"/>
        <v>0</v>
      </c>
    </row>
    <row r="49" spans="8:24" x14ac:dyDescent="0.3">
      <c r="H49">
        <f t="shared" si="18"/>
        <v>0</v>
      </c>
      <c r="I49">
        <f t="shared" si="19"/>
        <v>0</v>
      </c>
      <c r="J49">
        <f t="shared" si="20"/>
        <v>0</v>
      </c>
      <c r="K49">
        <f t="shared" si="21"/>
        <v>0</v>
      </c>
      <c r="L49">
        <f t="shared" si="22"/>
        <v>0</v>
      </c>
      <c r="M49" t="str">
        <f t="shared" si="23"/>
        <v>DOWN</v>
      </c>
      <c r="N49">
        <f t="shared" si="24"/>
        <v>0</v>
      </c>
      <c r="O49">
        <f t="shared" si="7"/>
        <v>0</v>
      </c>
      <c r="P49">
        <f t="shared" si="8"/>
        <v>0</v>
      </c>
      <c r="Q49">
        <f t="shared" si="25"/>
        <v>0</v>
      </c>
      <c r="R49">
        <f t="shared" si="10"/>
        <v>0</v>
      </c>
      <c r="S49">
        <f t="shared" si="11"/>
        <v>0</v>
      </c>
      <c r="T49">
        <f t="shared" si="12"/>
        <v>0</v>
      </c>
      <c r="U49">
        <f t="shared" si="13"/>
        <v>0</v>
      </c>
      <c r="V49">
        <f t="shared" si="26"/>
        <v>0</v>
      </c>
      <c r="W49">
        <f t="shared" si="27"/>
        <v>0</v>
      </c>
      <c r="X49">
        <f t="shared" si="28"/>
        <v>0</v>
      </c>
    </row>
    <row r="50" spans="8:24" x14ac:dyDescent="0.3">
      <c r="H50">
        <f t="shared" si="18"/>
        <v>0</v>
      </c>
      <c r="I50">
        <f t="shared" si="19"/>
        <v>0</v>
      </c>
      <c r="J50">
        <f t="shared" si="20"/>
        <v>0</v>
      </c>
      <c r="K50">
        <f t="shared" si="21"/>
        <v>0</v>
      </c>
      <c r="L50">
        <f t="shared" si="22"/>
        <v>0</v>
      </c>
      <c r="M50" t="str">
        <f t="shared" si="23"/>
        <v>DOWN</v>
      </c>
      <c r="N50">
        <f t="shared" si="24"/>
        <v>0</v>
      </c>
      <c r="O50">
        <f t="shared" si="7"/>
        <v>0</v>
      </c>
      <c r="P50">
        <f t="shared" si="8"/>
        <v>0</v>
      </c>
      <c r="Q50">
        <f t="shared" si="25"/>
        <v>0</v>
      </c>
      <c r="R50">
        <f t="shared" si="10"/>
        <v>0</v>
      </c>
      <c r="S50">
        <f t="shared" si="11"/>
        <v>0</v>
      </c>
      <c r="T50">
        <f t="shared" si="12"/>
        <v>0</v>
      </c>
      <c r="U50">
        <f t="shared" si="13"/>
        <v>0</v>
      </c>
      <c r="V50">
        <f t="shared" si="26"/>
        <v>0</v>
      </c>
      <c r="W50">
        <f t="shared" si="27"/>
        <v>0</v>
      </c>
      <c r="X50">
        <f t="shared" si="28"/>
        <v>0</v>
      </c>
    </row>
    <row r="51" spans="8:24" x14ac:dyDescent="0.3">
      <c r="H51">
        <f t="shared" si="18"/>
        <v>0</v>
      </c>
      <c r="I51">
        <f t="shared" si="19"/>
        <v>0</v>
      </c>
      <c r="J51">
        <f t="shared" si="20"/>
        <v>0</v>
      </c>
      <c r="K51">
        <f t="shared" si="21"/>
        <v>0</v>
      </c>
      <c r="L51">
        <f t="shared" si="22"/>
        <v>0</v>
      </c>
      <c r="M51" t="str">
        <f t="shared" si="23"/>
        <v>DOWN</v>
      </c>
      <c r="N51">
        <f t="shared" si="24"/>
        <v>0</v>
      </c>
      <c r="O51">
        <f t="shared" si="7"/>
        <v>0</v>
      </c>
      <c r="P51">
        <f t="shared" si="8"/>
        <v>0</v>
      </c>
      <c r="Q51">
        <f t="shared" si="25"/>
        <v>0</v>
      </c>
      <c r="R51">
        <f t="shared" si="10"/>
        <v>0</v>
      </c>
      <c r="S51">
        <f t="shared" si="11"/>
        <v>0</v>
      </c>
      <c r="T51">
        <f t="shared" si="12"/>
        <v>0</v>
      </c>
      <c r="U51">
        <f t="shared" si="13"/>
        <v>0</v>
      </c>
      <c r="V51">
        <f t="shared" si="26"/>
        <v>0</v>
      </c>
      <c r="W51">
        <f t="shared" si="27"/>
        <v>0</v>
      </c>
      <c r="X51">
        <f t="shared" si="28"/>
        <v>0</v>
      </c>
    </row>
    <row r="52" spans="8:24" x14ac:dyDescent="0.3">
      <c r="H52">
        <f t="shared" si="18"/>
        <v>0</v>
      </c>
      <c r="I52">
        <f t="shared" si="19"/>
        <v>0</v>
      </c>
      <c r="J52">
        <f t="shared" si="20"/>
        <v>0</v>
      </c>
      <c r="K52">
        <f t="shared" si="21"/>
        <v>0</v>
      </c>
      <c r="L52">
        <f t="shared" si="22"/>
        <v>0</v>
      </c>
      <c r="M52" t="str">
        <f t="shared" si="23"/>
        <v>DOWN</v>
      </c>
      <c r="N52">
        <f t="shared" si="24"/>
        <v>0</v>
      </c>
      <c r="O52">
        <f t="shared" si="7"/>
        <v>0</v>
      </c>
      <c r="P52">
        <f t="shared" si="8"/>
        <v>0</v>
      </c>
      <c r="Q52">
        <f t="shared" si="25"/>
        <v>0</v>
      </c>
      <c r="R52">
        <f t="shared" si="10"/>
        <v>0</v>
      </c>
      <c r="S52">
        <f t="shared" si="11"/>
        <v>0</v>
      </c>
      <c r="T52">
        <f t="shared" si="12"/>
        <v>0</v>
      </c>
      <c r="U52">
        <f t="shared" si="13"/>
        <v>0</v>
      </c>
      <c r="V52">
        <f t="shared" si="26"/>
        <v>0</v>
      </c>
      <c r="W52">
        <f t="shared" si="27"/>
        <v>0</v>
      </c>
      <c r="X52">
        <f t="shared" si="28"/>
        <v>0</v>
      </c>
    </row>
    <row r="53" spans="8:24" x14ac:dyDescent="0.3">
      <c r="H53">
        <f t="shared" si="18"/>
        <v>0</v>
      </c>
      <c r="I53">
        <f t="shared" si="19"/>
        <v>0</v>
      </c>
      <c r="J53">
        <f t="shared" si="20"/>
        <v>0</v>
      </c>
      <c r="K53">
        <f t="shared" si="21"/>
        <v>0</v>
      </c>
      <c r="L53">
        <f t="shared" si="22"/>
        <v>0</v>
      </c>
      <c r="M53" t="str">
        <f t="shared" si="23"/>
        <v>DOWN</v>
      </c>
      <c r="N53">
        <f t="shared" si="24"/>
        <v>0</v>
      </c>
      <c r="O53">
        <f t="shared" si="7"/>
        <v>0</v>
      </c>
      <c r="P53">
        <f t="shared" si="8"/>
        <v>0</v>
      </c>
      <c r="Q53">
        <f t="shared" si="25"/>
        <v>0</v>
      </c>
      <c r="R53">
        <f t="shared" si="10"/>
        <v>0</v>
      </c>
      <c r="S53">
        <f t="shared" si="11"/>
        <v>0</v>
      </c>
      <c r="T53">
        <f t="shared" si="12"/>
        <v>0</v>
      </c>
      <c r="U53">
        <f t="shared" si="13"/>
        <v>0</v>
      </c>
      <c r="V53">
        <f t="shared" si="26"/>
        <v>0</v>
      </c>
      <c r="W53">
        <f t="shared" si="27"/>
        <v>0</v>
      </c>
      <c r="X53">
        <f t="shared" si="28"/>
        <v>0</v>
      </c>
    </row>
    <row r="54" spans="8:24" x14ac:dyDescent="0.3">
      <c r="H54">
        <f t="shared" si="18"/>
        <v>0</v>
      </c>
      <c r="I54">
        <f t="shared" si="19"/>
        <v>0</v>
      </c>
      <c r="J54">
        <f t="shared" si="20"/>
        <v>0</v>
      </c>
      <c r="K54">
        <f t="shared" si="21"/>
        <v>0</v>
      </c>
      <c r="L54">
        <f t="shared" si="22"/>
        <v>0</v>
      </c>
      <c r="M54" t="str">
        <f t="shared" si="23"/>
        <v>DOWN</v>
      </c>
      <c r="N54">
        <f t="shared" si="24"/>
        <v>0</v>
      </c>
      <c r="O54">
        <f t="shared" si="7"/>
        <v>0</v>
      </c>
      <c r="P54">
        <f t="shared" si="8"/>
        <v>0</v>
      </c>
      <c r="Q54">
        <f t="shared" si="25"/>
        <v>0</v>
      </c>
      <c r="R54">
        <f t="shared" si="10"/>
        <v>0</v>
      </c>
      <c r="S54">
        <f t="shared" si="11"/>
        <v>0</v>
      </c>
      <c r="T54">
        <f t="shared" si="12"/>
        <v>0</v>
      </c>
      <c r="U54">
        <f t="shared" si="13"/>
        <v>0</v>
      </c>
      <c r="V54">
        <f t="shared" si="26"/>
        <v>0</v>
      </c>
      <c r="W54">
        <f t="shared" si="27"/>
        <v>0</v>
      </c>
      <c r="X54">
        <f t="shared" si="28"/>
        <v>0</v>
      </c>
    </row>
    <row r="55" spans="8:24" x14ac:dyDescent="0.3">
      <c r="H55">
        <f t="shared" si="18"/>
        <v>0</v>
      </c>
      <c r="I55">
        <f t="shared" si="19"/>
        <v>0</v>
      </c>
      <c r="J55">
        <f t="shared" si="20"/>
        <v>0</v>
      </c>
      <c r="K55">
        <f t="shared" si="21"/>
        <v>0</v>
      </c>
      <c r="L55">
        <f t="shared" si="22"/>
        <v>0</v>
      </c>
      <c r="M55" t="str">
        <f t="shared" si="23"/>
        <v>DOWN</v>
      </c>
      <c r="N55">
        <f t="shared" si="24"/>
        <v>0</v>
      </c>
      <c r="O55">
        <f t="shared" si="7"/>
        <v>0</v>
      </c>
      <c r="P55">
        <f t="shared" si="8"/>
        <v>0</v>
      </c>
      <c r="Q55">
        <f t="shared" si="25"/>
        <v>0</v>
      </c>
      <c r="R55">
        <f t="shared" si="10"/>
        <v>0</v>
      </c>
      <c r="S55">
        <f t="shared" si="11"/>
        <v>0</v>
      </c>
      <c r="T55">
        <f t="shared" si="12"/>
        <v>0</v>
      </c>
      <c r="U55">
        <f t="shared" si="13"/>
        <v>0</v>
      </c>
      <c r="V55">
        <f t="shared" si="26"/>
        <v>0</v>
      </c>
      <c r="W55">
        <f t="shared" si="27"/>
        <v>0</v>
      </c>
      <c r="X55">
        <f t="shared" si="28"/>
        <v>0</v>
      </c>
    </row>
    <row r="56" spans="8:24" x14ac:dyDescent="0.3">
      <c r="H56">
        <f t="shared" si="18"/>
        <v>0</v>
      </c>
      <c r="I56">
        <f t="shared" si="19"/>
        <v>0</v>
      </c>
      <c r="J56">
        <f t="shared" si="20"/>
        <v>0</v>
      </c>
      <c r="K56">
        <f t="shared" si="21"/>
        <v>0</v>
      </c>
      <c r="L56">
        <f t="shared" si="22"/>
        <v>0</v>
      </c>
      <c r="M56" t="str">
        <f t="shared" si="23"/>
        <v>DOWN</v>
      </c>
      <c r="N56">
        <f t="shared" si="24"/>
        <v>0</v>
      </c>
      <c r="O56">
        <f t="shared" si="7"/>
        <v>0</v>
      </c>
      <c r="P56">
        <f t="shared" si="8"/>
        <v>0</v>
      </c>
      <c r="Q56">
        <f t="shared" si="25"/>
        <v>0</v>
      </c>
      <c r="R56">
        <f t="shared" si="10"/>
        <v>0</v>
      </c>
      <c r="S56">
        <f t="shared" si="11"/>
        <v>0</v>
      </c>
      <c r="T56">
        <f t="shared" si="12"/>
        <v>0</v>
      </c>
      <c r="U56">
        <f t="shared" si="13"/>
        <v>0</v>
      </c>
      <c r="V56">
        <f t="shared" si="26"/>
        <v>0</v>
      </c>
      <c r="W56">
        <f t="shared" si="27"/>
        <v>0</v>
      </c>
      <c r="X56">
        <f t="shared" si="28"/>
        <v>0</v>
      </c>
    </row>
    <row r="57" spans="8:24" x14ac:dyDescent="0.3">
      <c r="H57">
        <f t="shared" si="18"/>
        <v>0</v>
      </c>
      <c r="I57">
        <f t="shared" si="19"/>
        <v>0</v>
      </c>
      <c r="J57">
        <f t="shared" si="20"/>
        <v>0</v>
      </c>
      <c r="K57">
        <f t="shared" si="21"/>
        <v>0</v>
      </c>
      <c r="L57">
        <f t="shared" si="22"/>
        <v>0</v>
      </c>
      <c r="M57" t="str">
        <f t="shared" si="23"/>
        <v>DOWN</v>
      </c>
      <c r="N57">
        <f t="shared" si="24"/>
        <v>0</v>
      </c>
      <c r="O57">
        <f t="shared" si="7"/>
        <v>0</v>
      </c>
      <c r="P57">
        <f t="shared" si="8"/>
        <v>0</v>
      </c>
      <c r="Q57">
        <f t="shared" si="25"/>
        <v>0</v>
      </c>
      <c r="R57">
        <f t="shared" si="10"/>
        <v>0</v>
      </c>
      <c r="S57">
        <f t="shared" si="11"/>
        <v>0</v>
      </c>
      <c r="T57">
        <f t="shared" si="12"/>
        <v>0</v>
      </c>
      <c r="U57">
        <f t="shared" si="13"/>
        <v>0</v>
      </c>
      <c r="V57">
        <f t="shared" si="26"/>
        <v>0</v>
      </c>
      <c r="W57">
        <f t="shared" si="27"/>
        <v>0</v>
      </c>
      <c r="X57">
        <f t="shared" si="28"/>
        <v>0</v>
      </c>
    </row>
    <row r="58" spans="8:24" x14ac:dyDescent="0.3">
      <c r="H58">
        <f t="shared" si="18"/>
        <v>0</v>
      </c>
      <c r="I58">
        <f t="shared" si="19"/>
        <v>0</v>
      </c>
      <c r="J58">
        <f t="shared" si="20"/>
        <v>0</v>
      </c>
      <c r="K58">
        <f t="shared" si="21"/>
        <v>0</v>
      </c>
      <c r="L58">
        <f t="shared" si="22"/>
        <v>0</v>
      </c>
      <c r="M58" t="str">
        <f t="shared" si="23"/>
        <v>DOWN</v>
      </c>
      <c r="N58">
        <f t="shared" si="24"/>
        <v>0</v>
      </c>
      <c r="O58">
        <f t="shared" si="7"/>
        <v>0</v>
      </c>
      <c r="P58">
        <f t="shared" si="8"/>
        <v>0</v>
      </c>
      <c r="Q58">
        <f t="shared" si="25"/>
        <v>0</v>
      </c>
      <c r="R58">
        <f t="shared" si="10"/>
        <v>0</v>
      </c>
      <c r="S58">
        <f t="shared" si="11"/>
        <v>0</v>
      </c>
      <c r="T58">
        <f t="shared" si="12"/>
        <v>0</v>
      </c>
      <c r="U58">
        <f t="shared" si="13"/>
        <v>0</v>
      </c>
      <c r="V58">
        <f t="shared" si="26"/>
        <v>0</v>
      </c>
      <c r="W58">
        <f t="shared" si="27"/>
        <v>0</v>
      </c>
      <c r="X58">
        <f t="shared" si="28"/>
        <v>0</v>
      </c>
    </row>
    <row r="59" spans="8:24" x14ac:dyDescent="0.3">
      <c r="H59">
        <f t="shared" si="18"/>
        <v>0</v>
      </c>
      <c r="I59">
        <f t="shared" si="19"/>
        <v>0</v>
      </c>
      <c r="J59">
        <f t="shared" si="20"/>
        <v>0</v>
      </c>
      <c r="K59">
        <f t="shared" si="21"/>
        <v>0</v>
      </c>
      <c r="L59">
        <f t="shared" si="22"/>
        <v>0</v>
      </c>
      <c r="M59" t="str">
        <f t="shared" si="23"/>
        <v>DOWN</v>
      </c>
      <c r="N59">
        <f t="shared" si="24"/>
        <v>0</v>
      </c>
      <c r="O59">
        <f t="shared" si="7"/>
        <v>0</v>
      </c>
      <c r="P59">
        <f t="shared" si="8"/>
        <v>0</v>
      </c>
      <c r="Q59">
        <f t="shared" si="25"/>
        <v>0</v>
      </c>
      <c r="R59">
        <f t="shared" si="10"/>
        <v>0</v>
      </c>
      <c r="S59">
        <f t="shared" si="11"/>
        <v>0</v>
      </c>
      <c r="T59">
        <f t="shared" si="12"/>
        <v>0</v>
      </c>
      <c r="U59">
        <f t="shared" si="13"/>
        <v>0</v>
      </c>
      <c r="V59">
        <f t="shared" si="26"/>
        <v>0</v>
      </c>
      <c r="W59">
        <f t="shared" si="27"/>
        <v>0</v>
      </c>
      <c r="X59">
        <f t="shared" si="28"/>
        <v>0</v>
      </c>
    </row>
    <row r="60" spans="8:24" x14ac:dyDescent="0.3">
      <c r="H60">
        <f t="shared" si="18"/>
        <v>0</v>
      </c>
      <c r="I60">
        <f t="shared" si="19"/>
        <v>0</v>
      </c>
      <c r="J60">
        <f t="shared" si="20"/>
        <v>0</v>
      </c>
      <c r="K60">
        <f t="shared" si="21"/>
        <v>0</v>
      </c>
      <c r="L60">
        <f t="shared" si="22"/>
        <v>0</v>
      </c>
      <c r="M60" t="str">
        <f t="shared" si="23"/>
        <v>DOWN</v>
      </c>
      <c r="N60">
        <f t="shared" si="24"/>
        <v>0</v>
      </c>
      <c r="O60">
        <f t="shared" si="7"/>
        <v>0</v>
      </c>
      <c r="P60">
        <f t="shared" si="8"/>
        <v>0</v>
      </c>
      <c r="Q60">
        <f t="shared" si="25"/>
        <v>0</v>
      </c>
      <c r="R60">
        <f t="shared" si="10"/>
        <v>0</v>
      </c>
      <c r="S60">
        <f t="shared" si="11"/>
        <v>0</v>
      </c>
      <c r="T60">
        <f t="shared" si="12"/>
        <v>0</v>
      </c>
      <c r="U60">
        <f t="shared" si="13"/>
        <v>0</v>
      </c>
      <c r="V60">
        <f t="shared" si="26"/>
        <v>0</v>
      </c>
      <c r="W60">
        <f t="shared" si="27"/>
        <v>0</v>
      </c>
      <c r="X60">
        <f t="shared" si="28"/>
        <v>0</v>
      </c>
    </row>
    <row r="61" spans="8:24" x14ac:dyDescent="0.3">
      <c r="H61">
        <f t="shared" si="18"/>
        <v>0</v>
      </c>
      <c r="I61">
        <f t="shared" si="19"/>
        <v>0</v>
      </c>
      <c r="J61">
        <f t="shared" si="20"/>
        <v>0</v>
      </c>
      <c r="K61">
        <f t="shared" si="21"/>
        <v>0</v>
      </c>
      <c r="L61">
        <f t="shared" si="22"/>
        <v>0</v>
      </c>
      <c r="M61" t="str">
        <f t="shared" si="23"/>
        <v>DOWN</v>
      </c>
      <c r="N61">
        <f t="shared" si="24"/>
        <v>0</v>
      </c>
      <c r="O61">
        <f t="shared" si="7"/>
        <v>0</v>
      </c>
      <c r="P61">
        <f t="shared" si="8"/>
        <v>0</v>
      </c>
      <c r="Q61">
        <f t="shared" si="25"/>
        <v>0</v>
      </c>
      <c r="R61">
        <f t="shared" si="10"/>
        <v>0</v>
      </c>
      <c r="S61">
        <f t="shared" si="11"/>
        <v>0</v>
      </c>
      <c r="T61">
        <f t="shared" si="12"/>
        <v>0</v>
      </c>
      <c r="U61">
        <f t="shared" si="13"/>
        <v>0</v>
      </c>
      <c r="V61">
        <f t="shared" si="26"/>
        <v>0</v>
      </c>
      <c r="W61">
        <f t="shared" si="27"/>
        <v>0</v>
      </c>
      <c r="X61">
        <f t="shared" si="28"/>
        <v>0</v>
      </c>
    </row>
    <row r="62" spans="8:24" x14ac:dyDescent="0.3">
      <c r="H62">
        <f t="shared" si="18"/>
        <v>0</v>
      </c>
      <c r="I62">
        <f t="shared" si="19"/>
        <v>0</v>
      </c>
      <c r="J62">
        <f t="shared" si="20"/>
        <v>0</v>
      </c>
      <c r="K62">
        <f t="shared" si="21"/>
        <v>0</v>
      </c>
      <c r="L62">
        <f t="shared" si="22"/>
        <v>0</v>
      </c>
      <c r="M62" t="str">
        <f t="shared" si="23"/>
        <v>DOWN</v>
      </c>
      <c r="N62">
        <f t="shared" si="24"/>
        <v>0</v>
      </c>
      <c r="O62">
        <f t="shared" si="7"/>
        <v>0</v>
      </c>
      <c r="P62">
        <f t="shared" si="8"/>
        <v>0</v>
      </c>
      <c r="Q62">
        <f t="shared" si="25"/>
        <v>0</v>
      </c>
      <c r="R62">
        <f t="shared" si="10"/>
        <v>0</v>
      </c>
      <c r="S62">
        <f t="shared" si="11"/>
        <v>0</v>
      </c>
      <c r="T62">
        <f t="shared" si="12"/>
        <v>0</v>
      </c>
      <c r="U62">
        <f t="shared" si="13"/>
        <v>0</v>
      </c>
      <c r="V62">
        <f t="shared" si="26"/>
        <v>0</v>
      </c>
      <c r="W62">
        <f t="shared" si="27"/>
        <v>0</v>
      </c>
      <c r="X62">
        <f t="shared" si="28"/>
        <v>0</v>
      </c>
    </row>
    <row r="63" spans="8:24" x14ac:dyDescent="0.3">
      <c r="H63">
        <f t="shared" si="18"/>
        <v>0</v>
      </c>
      <c r="I63">
        <f t="shared" si="19"/>
        <v>0</v>
      </c>
      <c r="J63">
        <f t="shared" si="20"/>
        <v>0</v>
      </c>
      <c r="K63">
        <f t="shared" si="21"/>
        <v>0</v>
      </c>
      <c r="L63">
        <f t="shared" si="22"/>
        <v>0</v>
      </c>
      <c r="M63" t="str">
        <f t="shared" si="23"/>
        <v>DOWN</v>
      </c>
      <c r="N63">
        <f t="shared" si="24"/>
        <v>0</v>
      </c>
      <c r="O63">
        <f t="shared" si="7"/>
        <v>0</v>
      </c>
      <c r="P63">
        <f t="shared" si="8"/>
        <v>0</v>
      </c>
      <c r="Q63">
        <f t="shared" si="25"/>
        <v>0</v>
      </c>
      <c r="R63">
        <f t="shared" si="10"/>
        <v>0</v>
      </c>
      <c r="S63">
        <f t="shared" si="11"/>
        <v>0</v>
      </c>
      <c r="T63">
        <f t="shared" si="12"/>
        <v>0</v>
      </c>
      <c r="U63">
        <f t="shared" si="13"/>
        <v>0</v>
      </c>
      <c r="V63">
        <f t="shared" si="26"/>
        <v>0</v>
      </c>
      <c r="W63">
        <f t="shared" si="27"/>
        <v>0</v>
      </c>
      <c r="X63">
        <f t="shared" si="28"/>
        <v>0</v>
      </c>
    </row>
    <row r="64" spans="8:24" x14ac:dyDescent="0.3">
      <c r="H64">
        <f t="shared" si="18"/>
        <v>0</v>
      </c>
      <c r="I64">
        <f t="shared" si="19"/>
        <v>0</v>
      </c>
      <c r="J64">
        <f t="shared" si="20"/>
        <v>0</v>
      </c>
      <c r="K64">
        <f t="shared" si="21"/>
        <v>0</v>
      </c>
      <c r="L64">
        <f t="shared" si="22"/>
        <v>0</v>
      </c>
      <c r="M64" t="str">
        <f t="shared" si="23"/>
        <v>DOWN</v>
      </c>
      <c r="N64">
        <f t="shared" si="24"/>
        <v>0</v>
      </c>
      <c r="O64">
        <f t="shared" si="7"/>
        <v>0</v>
      </c>
      <c r="P64">
        <f t="shared" si="8"/>
        <v>0</v>
      </c>
      <c r="Q64">
        <f t="shared" si="25"/>
        <v>0</v>
      </c>
      <c r="R64">
        <f t="shared" si="10"/>
        <v>0</v>
      </c>
      <c r="S64">
        <f t="shared" si="11"/>
        <v>0</v>
      </c>
      <c r="T64">
        <f t="shared" si="12"/>
        <v>0</v>
      </c>
      <c r="U64">
        <f t="shared" si="13"/>
        <v>0</v>
      </c>
      <c r="V64">
        <f t="shared" si="26"/>
        <v>0</v>
      </c>
      <c r="W64">
        <f t="shared" si="27"/>
        <v>0</v>
      </c>
      <c r="X64">
        <f t="shared" si="28"/>
        <v>0</v>
      </c>
    </row>
    <row r="65" spans="8:24" x14ac:dyDescent="0.3">
      <c r="H65">
        <f t="shared" si="18"/>
        <v>0</v>
      </c>
      <c r="I65">
        <f t="shared" si="19"/>
        <v>0</v>
      </c>
      <c r="J65">
        <f t="shared" si="20"/>
        <v>0</v>
      </c>
      <c r="K65">
        <f t="shared" si="21"/>
        <v>0</v>
      </c>
      <c r="L65">
        <f t="shared" si="22"/>
        <v>0</v>
      </c>
      <c r="M65" t="str">
        <f t="shared" si="23"/>
        <v>DOWN</v>
      </c>
      <c r="N65">
        <f t="shared" si="24"/>
        <v>0</v>
      </c>
      <c r="O65">
        <f t="shared" si="7"/>
        <v>0</v>
      </c>
      <c r="P65">
        <f t="shared" si="8"/>
        <v>0</v>
      </c>
      <c r="Q65">
        <f t="shared" si="25"/>
        <v>0</v>
      </c>
      <c r="R65">
        <f t="shared" si="10"/>
        <v>0</v>
      </c>
      <c r="S65">
        <f t="shared" si="11"/>
        <v>0</v>
      </c>
      <c r="T65">
        <f t="shared" si="12"/>
        <v>0</v>
      </c>
      <c r="U65">
        <f t="shared" si="13"/>
        <v>0</v>
      </c>
      <c r="V65">
        <f t="shared" si="26"/>
        <v>0</v>
      </c>
      <c r="W65">
        <f t="shared" si="27"/>
        <v>0</v>
      </c>
      <c r="X65">
        <f t="shared" si="28"/>
        <v>0</v>
      </c>
    </row>
    <row r="66" spans="8:24" x14ac:dyDescent="0.3">
      <c r="H66">
        <f t="shared" ref="H66:H97" si="29">E67</f>
        <v>0</v>
      </c>
      <c r="I66">
        <f t="shared" ref="I66:I97" si="30">MAX(C66,H66)</f>
        <v>0</v>
      </c>
      <c r="J66">
        <f t="shared" ref="J66:J97" si="31">MIN(D66,H66)</f>
        <v>0</v>
      </c>
      <c r="K66">
        <f t="shared" ref="K66:K97" si="32">I66-J66</f>
        <v>0</v>
      </c>
      <c r="L66">
        <f t="shared" ref="L66:L97" si="33">B66-E67</f>
        <v>0</v>
      </c>
      <c r="M66" t="str">
        <f t="shared" ref="M66:M97" si="34">IF(E66&gt;E67,"UP","DOWN")</f>
        <v>DOWN</v>
      </c>
      <c r="N66">
        <f t="shared" ref="N66:N97" si="35">E66-E67</f>
        <v>0</v>
      </c>
      <c r="O66">
        <f t="shared" ref="O66:O129" si="36">SUM(N66:N70)</f>
        <v>0</v>
      </c>
      <c r="P66">
        <f t="shared" ref="P66:P129" si="37">SUM(N66:N75)</f>
        <v>0</v>
      </c>
      <c r="Q66">
        <f t="shared" ref="Q66:Q97" si="38">SUM(N66:N115)</f>
        <v>0</v>
      </c>
      <c r="R66">
        <f t="shared" ref="R66:R129" si="39">SUM(E66:E75)/10</f>
        <v>0</v>
      </c>
      <c r="S66">
        <f t="shared" ref="S66:S129" si="40">R66-R67</f>
        <v>0</v>
      </c>
      <c r="T66">
        <f t="shared" ref="T66:T129" si="41">SUM(E66:E115)/50</f>
        <v>0</v>
      </c>
      <c r="U66">
        <f t="shared" ref="U66:U129" si="42">T66-T67</f>
        <v>0</v>
      </c>
      <c r="V66">
        <f t="shared" ref="V66:V97" si="43">SUM(E66:E165)/100</f>
        <v>0</v>
      </c>
      <c r="W66">
        <f t="shared" ref="W66:W97" si="44">V66-V67</f>
        <v>0</v>
      </c>
      <c r="X66">
        <f t="shared" ref="X66:X97" si="45">SUM(E66:E265)/200</f>
        <v>0</v>
      </c>
    </row>
    <row r="67" spans="8:24" x14ac:dyDescent="0.3">
      <c r="H67">
        <f t="shared" si="29"/>
        <v>0</v>
      </c>
      <c r="I67">
        <f t="shared" si="30"/>
        <v>0</v>
      </c>
      <c r="J67">
        <f t="shared" si="31"/>
        <v>0</v>
      </c>
      <c r="K67">
        <f t="shared" si="32"/>
        <v>0</v>
      </c>
      <c r="L67">
        <f t="shared" si="33"/>
        <v>0</v>
      </c>
      <c r="M67" t="str">
        <f t="shared" si="34"/>
        <v>DOWN</v>
      </c>
      <c r="N67">
        <f t="shared" si="35"/>
        <v>0</v>
      </c>
      <c r="O67">
        <f t="shared" si="36"/>
        <v>0</v>
      </c>
      <c r="P67">
        <f t="shared" si="37"/>
        <v>0</v>
      </c>
      <c r="Q67">
        <f t="shared" si="38"/>
        <v>0</v>
      </c>
      <c r="R67">
        <f t="shared" si="39"/>
        <v>0</v>
      </c>
      <c r="S67">
        <f t="shared" si="40"/>
        <v>0</v>
      </c>
      <c r="T67">
        <f t="shared" si="41"/>
        <v>0</v>
      </c>
      <c r="U67">
        <f t="shared" si="42"/>
        <v>0</v>
      </c>
      <c r="V67">
        <f t="shared" si="43"/>
        <v>0</v>
      </c>
      <c r="W67">
        <f t="shared" si="44"/>
        <v>0</v>
      </c>
      <c r="X67">
        <f t="shared" si="45"/>
        <v>0</v>
      </c>
    </row>
    <row r="68" spans="8:24" x14ac:dyDescent="0.3">
      <c r="H68">
        <f t="shared" si="29"/>
        <v>0</v>
      </c>
      <c r="I68">
        <f t="shared" si="30"/>
        <v>0</v>
      </c>
      <c r="J68">
        <f t="shared" si="31"/>
        <v>0</v>
      </c>
      <c r="K68">
        <f t="shared" si="32"/>
        <v>0</v>
      </c>
      <c r="L68">
        <f t="shared" si="33"/>
        <v>0</v>
      </c>
      <c r="M68" t="str">
        <f t="shared" si="34"/>
        <v>DOWN</v>
      </c>
      <c r="N68">
        <f t="shared" si="35"/>
        <v>0</v>
      </c>
      <c r="O68">
        <f t="shared" si="36"/>
        <v>0</v>
      </c>
      <c r="P68">
        <f t="shared" si="37"/>
        <v>0</v>
      </c>
      <c r="Q68">
        <f t="shared" si="38"/>
        <v>0</v>
      </c>
      <c r="R68">
        <f t="shared" si="39"/>
        <v>0</v>
      </c>
      <c r="S68">
        <f t="shared" si="40"/>
        <v>0</v>
      </c>
      <c r="T68">
        <f t="shared" si="41"/>
        <v>0</v>
      </c>
      <c r="U68">
        <f t="shared" si="42"/>
        <v>0</v>
      </c>
      <c r="V68">
        <f t="shared" si="43"/>
        <v>0</v>
      </c>
      <c r="W68">
        <f t="shared" si="44"/>
        <v>0</v>
      </c>
      <c r="X68">
        <f t="shared" si="45"/>
        <v>0</v>
      </c>
    </row>
    <row r="69" spans="8:24" x14ac:dyDescent="0.3">
      <c r="H69">
        <f t="shared" si="29"/>
        <v>0</v>
      </c>
      <c r="I69">
        <f t="shared" si="30"/>
        <v>0</v>
      </c>
      <c r="J69">
        <f t="shared" si="31"/>
        <v>0</v>
      </c>
      <c r="K69">
        <f t="shared" si="32"/>
        <v>0</v>
      </c>
      <c r="L69">
        <f t="shared" si="33"/>
        <v>0</v>
      </c>
      <c r="M69" t="str">
        <f t="shared" si="34"/>
        <v>DOWN</v>
      </c>
      <c r="N69">
        <f t="shared" si="35"/>
        <v>0</v>
      </c>
      <c r="O69">
        <f t="shared" si="36"/>
        <v>0</v>
      </c>
      <c r="P69">
        <f t="shared" si="37"/>
        <v>0</v>
      </c>
      <c r="Q69">
        <f t="shared" si="38"/>
        <v>0</v>
      </c>
      <c r="R69">
        <f t="shared" si="39"/>
        <v>0</v>
      </c>
      <c r="S69">
        <f t="shared" si="40"/>
        <v>0</v>
      </c>
      <c r="T69">
        <f t="shared" si="41"/>
        <v>0</v>
      </c>
      <c r="U69">
        <f t="shared" si="42"/>
        <v>0</v>
      </c>
      <c r="V69">
        <f t="shared" si="43"/>
        <v>0</v>
      </c>
      <c r="W69">
        <f t="shared" si="44"/>
        <v>0</v>
      </c>
      <c r="X69">
        <f t="shared" si="45"/>
        <v>0</v>
      </c>
    </row>
    <row r="70" spans="8:24" x14ac:dyDescent="0.3">
      <c r="H70">
        <f t="shared" si="29"/>
        <v>0</v>
      </c>
      <c r="I70">
        <f t="shared" si="30"/>
        <v>0</v>
      </c>
      <c r="J70">
        <f t="shared" si="31"/>
        <v>0</v>
      </c>
      <c r="K70">
        <f t="shared" si="32"/>
        <v>0</v>
      </c>
      <c r="L70">
        <f t="shared" si="33"/>
        <v>0</v>
      </c>
      <c r="M70" t="str">
        <f t="shared" si="34"/>
        <v>DOWN</v>
      </c>
      <c r="N70">
        <f t="shared" si="35"/>
        <v>0</v>
      </c>
      <c r="O70">
        <f t="shared" si="36"/>
        <v>0</v>
      </c>
      <c r="P70">
        <f t="shared" si="37"/>
        <v>0</v>
      </c>
      <c r="Q70">
        <f t="shared" si="38"/>
        <v>0</v>
      </c>
      <c r="R70">
        <f t="shared" si="39"/>
        <v>0</v>
      </c>
      <c r="S70">
        <f t="shared" si="40"/>
        <v>0</v>
      </c>
      <c r="T70">
        <f t="shared" si="41"/>
        <v>0</v>
      </c>
      <c r="U70">
        <f t="shared" si="42"/>
        <v>0</v>
      </c>
      <c r="V70">
        <f t="shared" si="43"/>
        <v>0</v>
      </c>
      <c r="W70">
        <f t="shared" si="44"/>
        <v>0</v>
      </c>
      <c r="X70">
        <f t="shared" si="45"/>
        <v>0</v>
      </c>
    </row>
    <row r="71" spans="8:24" x14ac:dyDescent="0.3">
      <c r="H71">
        <f t="shared" si="29"/>
        <v>0</v>
      </c>
      <c r="I71">
        <f t="shared" si="30"/>
        <v>0</v>
      </c>
      <c r="J71">
        <f t="shared" si="31"/>
        <v>0</v>
      </c>
      <c r="K71">
        <f t="shared" si="32"/>
        <v>0</v>
      </c>
      <c r="L71">
        <f t="shared" si="33"/>
        <v>0</v>
      </c>
      <c r="M71" t="str">
        <f t="shared" si="34"/>
        <v>DOWN</v>
      </c>
      <c r="N71">
        <f t="shared" si="35"/>
        <v>0</v>
      </c>
      <c r="O71">
        <f t="shared" si="36"/>
        <v>0</v>
      </c>
      <c r="P71">
        <f t="shared" si="37"/>
        <v>0</v>
      </c>
      <c r="Q71">
        <f t="shared" si="38"/>
        <v>0</v>
      </c>
      <c r="R71">
        <f t="shared" si="39"/>
        <v>0</v>
      </c>
      <c r="S71">
        <f t="shared" si="40"/>
        <v>0</v>
      </c>
      <c r="T71">
        <f t="shared" si="41"/>
        <v>0</v>
      </c>
      <c r="U71">
        <f t="shared" si="42"/>
        <v>0</v>
      </c>
      <c r="V71">
        <f t="shared" si="43"/>
        <v>0</v>
      </c>
      <c r="W71">
        <f t="shared" si="44"/>
        <v>0</v>
      </c>
      <c r="X71">
        <f t="shared" si="45"/>
        <v>0</v>
      </c>
    </row>
    <row r="72" spans="8:24" x14ac:dyDescent="0.3">
      <c r="H72">
        <f t="shared" si="29"/>
        <v>0</v>
      </c>
      <c r="I72">
        <f t="shared" si="30"/>
        <v>0</v>
      </c>
      <c r="J72">
        <f t="shared" si="31"/>
        <v>0</v>
      </c>
      <c r="K72">
        <f t="shared" si="32"/>
        <v>0</v>
      </c>
      <c r="L72">
        <f t="shared" si="33"/>
        <v>0</v>
      </c>
      <c r="M72" t="str">
        <f t="shared" si="34"/>
        <v>DOWN</v>
      </c>
      <c r="N72">
        <f t="shared" si="35"/>
        <v>0</v>
      </c>
      <c r="O72">
        <f t="shared" si="36"/>
        <v>0</v>
      </c>
      <c r="P72">
        <f t="shared" si="37"/>
        <v>0</v>
      </c>
      <c r="Q72">
        <f t="shared" si="38"/>
        <v>0</v>
      </c>
      <c r="R72">
        <f t="shared" si="39"/>
        <v>0</v>
      </c>
      <c r="S72">
        <f t="shared" si="40"/>
        <v>0</v>
      </c>
      <c r="T72">
        <f t="shared" si="41"/>
        <v>0</v>
      </c>
      <c r="U72">
        <f t="shared" si="42"/>
        <v>0</v>
      </c>
      <c r="V72">
        <f t="shared" si="43"/>
        <v>0</v>
      </c>
      <c r="W72">
        <f t="shared" si="44"/>
        <v>0</v>
      </c>
      <c r="X72">
        <f t="shared" si="45"/>
        <v>0</v>
      </c>
    </row>
    <row r="73" spans="8:24" x14ac:dyDescent="0.3">
      <c r="H73">
        <f t="shared" si="29"/>
        <v>0</v>
      </c>
      <c r="I73">
        <f t="shared" si="30"/>
        <v>0</v>
      </c>
      <c r="J73">
        <f t="shared" si="31"/>
        <v>0</v>
      </c>
      <c r="K73">
        <f t="shared" si="32"/>
        <v>0</v>
      </c>
      <c r="L73">
        <f t="shared" si="33"/>
        <v>0</v>
      </c>
      <c r="M73" t="str">
        <f t="shared" si="34"/>
        <v>DOWN</v>
      </c>
      <c r="N73">
        <f t="shared" si="35"/>
        <v>0</v>
      </c>
      <c r="O73">
        <f t="shared" si="36"/>
        <v>0</v>
      </c>
      <c r="P73">
        <f t="shared" si="37"/>
        <v>0</v>
      </c>
      <c r="Q73">
        <f t="shared" si="38"/>
        <v>0</v>
      </c>
      <c r="R73">
        <f t="shared" si="39"/>
        <v>0</v>
      </c>
      <c r="S73">
        <f t="shared" si="40"/>
        <v>0</v>
      </c>
      <c r="T73">
        <f t="shared" si="41"/>
        <v>0</v>
      </c>
      <c r="U73">
        <f t="shared" si="42"/>
        <v>0</v>
      </c>
      <c r="V73">
        <f t="shared" si="43"/>
        <v>0</v>
      </c>
      <c r="W73">
        <f t="shared" si="44"/>
        <v>0</v>
      </c>
      <c r="X73">
        <f t="shared" si="45"/>
        <v>0</v>
      </c>
    </row>
    <row r="74" spans="8:24" x14ac:dyDescent="0.3">
      <c r="H74">
        <f t="shared" si="29"/>
        <v>0</v>
      </c>
      <c r="I74">
        <f t="shared" si="30"/>
        <v>0</v>
      </c>
      <c r="J74">
        <f t="shared" si="31"/>
        <v>0</v>
      </c>
      <c r="K74">
        <f t="shared" si="32"/>
        <v>0</v>
      </c>
      <c r="L74">
        <f t="shared" si="33"/>
        <v>0</v>
      </c>
      <c r="M74" t="str">
        <f t="shared" si="34"/>
        <v>DOWN</v>
      </c>
      <c r="N74">
        <f t="shared" si="35"/>
        <v>0</v>
      </c>
      <c r="O74">
        <f t="shared" si="36"/>
        <v>0</v>
      </c>
      <c r="P74">
        <f t="shared" si="37"/>
        <v>0</v>
      </c>
      <c r="Q74">
        <f t="shared" si="38"/>
        <v>0</v>
      </c>
      <c r="R74">
        <f t="shared" si="39"/>
        <v>0</v>
      </c>
      <c r="S74">
        <f t="shared" si="40"/>
        <v>0</v>
      </c>
      <c r="T74">
        <f t="shared" si="41"/>
        <v>0</v>
      </c>
      <c r="U74">
        <f t="shared" si="42"/>
        <v>0</v>
      </c>
      <c r="V74">
        <f t="shared" si="43"/>
        <v>0</v>
      </c>
      <c r="W74">
        <f t="shared" si="44"/>
        <v>0</v>
      </c>
      <c r="X74">
        <f t="shared" si="45"/>
        <v>0</v>
      </c>
    </row>
    <row r="75" spans="8:24" x14ac:dyDescent="0.3">
      <c r="H75">
        <f t="shared" si="29"/>
        <v>0</v>
      </c>
      <c r="I75">
        <f t="shared" si="30"/>
        <v>0</v>
      </c>
      <c r="J75">
        <f t="shared" si="31"/>
        <v>0</v>
      </c>
      <c r="K75">
        <f t="shared" si="32"/>
        <v>0</v>
      </c>
      <c r="L75">
        <f t="shared" si="33"/>
        <v>0</v>
      </c>
      <c r="M75" t="str">
        <f t="shared" si="34"/>
        <v>DOWN</v>
      </c>
      <c r="N75">
        <f t="shared" si="35"/>
        <v>0</v>
      </c>
      <c r="O75">
        <f t="shared" si="36"/>
        <v>0</v>
      </c>
      <c r="P75">
        <f t="shared" si="37"/>
        <v>0</v>
      </c>
      <c r="Q75">
        <f t="shared" si="38"/>
        <v>0</v>
      </c>
      <c r="R75">
        <f t="shared" si="39"/>
        <v>0</v>
      </c>
      <c r="S75">
        <f t="shared" si="40"/>
        <v>0</v>
      </c>
      <c r="T75">
        <f t="shared" si="41"/>
        <v>0</v>
      </c>
      <c r="U75">
        <f t="shared" si="42"/>
        <v>0</v>
      </c>
      <c r="V75">
        <f t="shared" si="43"/>
        <v>0</v>
      </c>
      <c r="W75">
        <f t="shared" si="44"/>
        <v>0</v>
      </c>
      <c r="X75">
        <f t="shared" si="45"/>
        <v>0</v>
      </c>
    </row>
    <row r="76" spans="8:24" x14ac:dyDescent="0.3">
      <c r="H76">
        <f t="shared" si="29"/>
        <v>0</v>
      </c>
      <c r="I76">
        <f t="shared" si="30"/>
        <v>0</v>
      </c>
      <c r="J76">
        <f t="shared" si="31"/>
        <v>0</v>
      </c>
      <c r="K76">
        <f t="shared" si="32"/>
        <v>0</v>
      </c>
      <c r="L76">
        <f t="shared" si="33"/>
        <v>0</v>
      </c>
      <c r="M76" t="str">
        <f t="shared" si="34"/>
        <v>DOWN</v>
      </c>
      <c r="N76">
        <f t="shared" si="35"/>
        <v>0</v>
      </c>
      <c r="O76">
        <f t="shared" si="36"/>
        <v>0</v>
      </c>
      <c r="P76">
        <f t="shared" si="37"/>
        <v>0</v>
      </c>
      <c r="Q76">
        <f t="shared" si="38"/>
        <v>0</v>
      </c>
      <c r="R76">
        <f t="shared" si="39"/>
        <v>0</v>
      </c>
      <c r="S76">
        <f t="shared" si="40"/>
        <v>0</v>
      </c>
      <c r="T76">
        <f t="shared" si="41"/>
        <v>0</v>
      </c>
      <c r="U76">
        <f t="shared" si="42"/>
        <v>0</v>
      </c>
      <c r="V76">
        <f t="shared" si="43"/>
        <v>0</v>
      </c>
      <c r="W76">
        <f t="shared" si="44"/>
        <v>0</v>
      </c>
      <c r="X76">
        <f t="shared" si="45"/>
        <v>0</v>
      </c>
    </row>
    <row r="77" spans="8:24" x14ac:dyDescent="0.3">
      <c r="H77">
        <f t="shared" si="29"/>
        <v>0</v>
      </c>
      <c r="I77">
        <f t="shared" si="30"/>
        <v>0</v>
      </c>
      <c r="J77">
        <f t="shared" si="31"/>
        <v>0</v>
      </c>
      <c r="K77">
        <f t="shared" si="32"/>
        <v>0</v>
      </c>
      <c r="L77">
        <f t="shared" si="33"/>
        <v>0</v>
      </c>
      <c r="M77" t="str">
        <f t="shared" si="34"/>
        <v>DOWN</v>
      </c>
      <c r="N77">
        <f t="shared" si="35"/>
        <v>0</v>
      </c>
      <c r="O77">
        <f t="shared" si="36"/>
        <v>0</v>
      </c>
      <c r="P77">
        <f t="shared" si="37"/>
        <v>0</v>
      </c>
      <c r="Q77">
        <f t="shared" si="38"/>
        <v>0</v>
      </c>
      <c r="R77">
        <f t="shared" si="39"/>
        <v>0</v>
      </c>
      <c r="S77">
        <f t="shared" si="40"/>
        <v>0</v>
      </c>
      <c r="T77">
        <f t="shared" si="41"/>
        <v>0</v>
      </c>
      <c r="U77">
        <f t="shared" si="42"/>
        <v>0</v>
      </c>
      <c r="V77">
        <f t="shared" si="43"/>
        <v>0</v>
      </c>
      <c r="W77">
        <f t="shared" si="44"/>
        <v>0</v>
      </c>
      <c r="X77">
        <f t="shared" si="45"/>
        <v>0</v>
      </c>
    </row>
    <row r="78" spans="8:24" x14ac:dyDescent="0.3">
      <c r="H78">
        <f t="shared" si="29"/>
        <v>0</v>
      </c>
      <c r="I78">
        <f t="shared" si="30"/>
        <v>0</v>
      </c>
      <c r="J78">
        <f t="shared" si="31"/>
        <v>0</v>
      </c>
      <c r="K78">
        <f t="shared" si="32"/>
        <v>0</v>
      </c>
      <c r="L78">
        <f t="shared" si="33"/>
        <v>0</v>
      </c>
      <c r="M78" t="str">
        <f t="shared" si="34"/>
        <v>DOWN</v>
      </c>
      <c r="N78">
        <f t="shared" si="35"/>
        <v>0</v>
      </c>
      <c r="O78">
        <f t="shared" si="36"/>
        <v>0</v>
      </c>
      <c r="P78">
        <f t="shared" si="37"/>
        <v>0</v>
      </c>
      <c r="Q78">
        <f t="shared" si="38"/>
        <v>0</v>
      </c>
      <c r="R78">
        <f t="shared" si="39"/>
        <v>0</v>
      </c>
      <c r="S78">
        <f t="shared" si="40"/>
        <v>0</v>
      </c>
      <c r="T78">
        <f t="shared" si="41"/>
        <v>0</v>
      </c>
      <c r="U78">
        <f t="shared" si="42"/>
        <v>0</v>
      </c>
      <c r="V78">
        <f t="shared" si="43"/>
        <v>0</v>
      </c>
      <c r="W78">
        <f t="shared" si="44"/>
        <v>0</v>
      </c>
      <c r="X78">
        <f t="shared" si="45"/>
        <v>0</v>
      </c>
    </row>
    <row r="79" spans="8:24" x14ac:dyDescent="0.3">
      <c r="H79">
        <f t="shared" si="29"/>
        <v>0</v>
      </c>
      <c r="I79">
        <f t="shared" si="30"/>
        <v>0</v>
      </c>
      <c r="J79">
        <f t="shared" si="31"/>
        <v>0</v>
      </c>
      <c r="K79">
        <f t="shared" si="32"/>
        <v>0</v>
      </c>
      <c r="L79">
        <f t="shared" si="33"/>
        <v>0</v>
      </c>
      <c r="M79" t="str">
        <f t="shared" si="34"/>
        <v>DOWN</v>
      </c>
      <c r="N79">
        <f t="shared" si="35"/>
        <v>0</v>
      </c>
      <c r="O79">
        <f t="shared" si="36"/>
        <v>0</v>
      </c>
      <c r="P79">
        <f t="shared" si="37"/>
        <v>0</v>
      </c>
      <c r="Q79">
        <f t="shared" si="38"/>
        <v>0</v>
      </c>
      <c r="R79">
        <f t="shared" si="39"/>
        <v>0</v>
      </c>
      <c r="S79">
        <f t="shared" si="40"/>
        <v>0</v>
      </c>
      <c r="T79">
        <f t="shared" si="41"/>
        <v>0</v>
      </c>
      <c r="U79">
        <f t="shared" si="42"/>
        <v>0</v>
      </c>
      <c r="V79">
        <f t="shared" si="43"/>
        <v>0</v>
      </c>
      <c r="W79">
        <f t="shared" si="44"/>
        <v>0</v>
      </c>
      <c r="X79">
        <f t="shared" si="45"/>
        <v>0</v>
      </c>
    </row>
    <row r="80" spans="8:24" x14ac:dyDescent="0.3">
      <c r="H80">
        <f t="shared" si="29"/>
        <v>0</v>
      </c>
      <c r="I80">
        <f t="shared" si="30"/>
        <v>0</v>
      </c>
      <c r="J80">
        <f t="shared" si="31"/>
        <v>0</v>
      </c>
      <c r="K80">
        <f t="shared" si="32"/>
        <v>0</v>
      </c>
      <c r="L80">
        <f t="shared" si="33"/>
        <v>0</v>
      </c>
      <c r="M80" t="str">
        <f t="shared" si="34"/>
        <v>DOWN</v>
      </c>
      <c r="N80">
        <f t="shared" si="35"/>
        <v>0</v>
      </c>
      <c r="O80">
        <f t="shared" si="36"/>
        <v>0</v>
      </c>
      <c r="P80">
        <f t="shared" si="37"/>
        <v>0</v>
      </c>
      <c r="Q80">
        <f t="shared" si="38"/>
        <v>0</v>
      </c>
      <c r="R80">
        <f t="shared" si="39"/>
        <v>0</v>
      </c>
      <c r="S80">
        <f t="shared" si="40"/>
        <v>0</v>
      </c>
      <c r="T80">
        <f t="shared" si="41"/>
        <v>0</v>
      </c>
      <c r="U80">
        <f t="shared" si="42"/>
        <v>0</v>
      </c>
      <c r="V80">
        <f t="shared" si="43"/>
        <v>0</v>
      </c>
      <c r="W80">
        <f t="shared" si="44"/>
        <v>0</v>
      </c>
      <c r="X80">
        <f t="shared" si="45"/>
        <v>0</v>
      </c>
    </row>
    <row r="81" spans="8:24" x14ac:dyDescent="0.3">
      <c r="H81">
        <f t="shared" si="29"/>
        <v>0</v>
      </c>
      <c r="I81">
        <f t="shared" si="30"/>
        <v>0</v>
      </c>
      <c r="J81">
        <f t="shared" si="31"/>
        <v>0</v>
      </c>
      <c r="K81">
        <f t="shared" si="32"/>
        <v>0</v>
      </c>
      <c r="L81">
        <f t="shared" si="33"/>
        <v>0</v>
      </c>
      <c r="M81" t="str">
        <f t="shared" si="34"/>
        <v>DOWN</v>
      </c>
      <c r="N81">
        <f t="shared" si="35"/>
        <v>0</v>
      </c>
      <c r="O81">
        <f t="shared" si="36"/>
        <v>0</v>
      </c>
      <c r="P81">
        <f t="shared" si="37"/>
        <v>0</v>
      </c>
      <c r="Q81">
        <f t="shared" si="38"/>
        <v>0</v>
      </c>
      <c r="R81">
        <f t="shared" si="39"/>
        <v>0</v>
      </c>
      <c r="S81">
        <f t="shared" si="40"/>
        <v>0</v>
      </c>
      <c r="T81">
        <f t="shared" si="41"/>
        <v>0</v>
      </c>
      <c r="U81">
        <f t="shared" si="42"/>
        <v>0</v>
      </c>
      <c r="V81">
        <f t="shared" si="43"/>
        <v>0</v>
      </c>
      <c r="W81">
        <f t="shared" si="44"/>
        <v>0</v>
      </c>
      <c r="X81">
        <f t="shared" si="45"/>
        <v>0</v>
      </c>
    </row>
    <row r="82" spans="8:24" x14ac:dyDescent="0.3">
      <c r="H82">
        <f t="shared" si="29"/>
        <v>0</v>
      </c>
      <c r="I82">
        <f t="shared" si="30"/>
        <v>0</v>
      </c>
      <c r="J82">
        <f t="shared" si="31"/>
        <v>0</v>
      </c>
      <c r="K82">
        <f t="shared" si="32"/>
        <v>0</v>
      </c>
      <c r="L82">
        <f t="shared" si="33"/>
        <v>0</v>
      </c>
      <c r="M82" t="str">
        <f t="shared" si="34"/>
        <v>DOWN</v>
      </c>
      <c r="N82">
        <f t="shared" si="35"/>
        <v>0</v>
      </c>
      <c r="O82">
        <f t="shared" si="36"/>
        <v>0</v>
      </c>
      <c r="P82">
        <f t="shared" si="37"/>
        <v>0</v>
      </c>
      <c r="Q82">
        <f t="shared" si="38"/>
        <v>0</v>
      </c>
      <c r="R82">
        <f t="shared" si="39"/>
        <v>0</v>
      </c>
      <c r="S82">
        <f t="shared" si="40"/>
        <v>0</v>
      </c>
      <c r="T82">
        <f t="shared" si="41"/>
        <v>0</v>
      </c>
      <c r="U82">
        <f t="shared" si="42"/>
        <v>0</v>
      </c>
      <c r="V82">
        <f t="shared" si="43"/>
        <v>0</v>
      </c>
      <c r="W82">
        <f t="shared" si="44"/>
        <v>0</v>
      </c>
      <c r="X82">
        <f t="shared" si="45"/>
        <v>0</v>
      </c>
    </row>
    <row r="83" spans="8:24" x14ac:dyDescent="0.3">
      <c r="H83">
        <f t="shared" si="29"/>
        <v>0</v>
      </c>
      <c r="I83">
        <f t="shared" si="30"/>
        <v>0</v>
      </c>
      <c r="J83">
        <f t="shared" si="31"/>
        <v>0</v>
      </c>
      <c r="K83">
        <f t="shared" si="32"/>
        <v>0</v>
      </c>
      <c r="L83">
        <f t="shared" si="33"/>
        <v>0</v>
      </c>
      <c r="M83" t="str">
        <f t="shared" si="34"/>
        <v>DOWN</v>
      </c>
      <c r="N83">
        <f t="shared" si="35"/>
        <v>0</v>
      </c>
      <c r="O83">
        <f t="shared" si="36"/>
        <v>0</v>
      </c>
      <c r="P83">
        <f t="shared" si="37"/>
        <v>0</v>
      </c>
      <c r="Q83">
        <f t="shared" si="38"/>
        <v>0</v>
      </c>
      <c r="R83">
        <f t="shared" si="39"/>
        <v>0</v>
      </c>
      <c r="S83">
        <f t="shared" si="40"/>
        <v>0</v>
      </c>
      <c r="T83">
        <f t="shared" si="41"/>
        <v>0</v>
      </c>
      <c r="U83">
        <f t="shared" si="42"/>
        <v>0</v>
      </c>
      <c r="V83">
        <f t="shared" si="43"/>
        <v>0</v>
      </c>
      <c r="W83">
        <f t="shared" si="44"/>
        <v>0</v>
      </c>
      <c r="X83">
        <f t="shared" si="45"/>
        <v>0</v>
      </c>
    </row>
    <row r="84" spans="8:24" x14ac:dyDescent="0.3">
      <c r="H84">
        <f t="shared" si="29"/>
        <v>0</v>
      </c>
      <c r="I84">
        <f t="shared" si="30"/>
        <v>0</v>
      </c>
      <c r="J84">
        <f t="shared" si="31"/>
        <v>0</v>
      </c>
      <c r="K84">
        <f t="shared" si="32"/>
        <v>0</v>
      </c>
      <c r="L84">
        <f t="shared" si="33"/>
        <v>0</v>
      </c>
      <c r="M84" t="str">
        <f t="shared" si="34"/>
        <v>DOWN</v>
      </c>
      <c r="N84">
        <f t="shared" si="35"/>
        <v>0</v>
      </c>
      <c r="O84">
        <f t="shared" si="36"/>
        <v>0</v>
      </c>
      <c r="P84">
        <f t="shared" si="37"/>
        <v>0</v>
      </c>
      <c r="Q84">
        <f t="shared" si="38"/>
        <v>0</v>
      </c>
      <c r="R84">
        <f t="shared" si="39"/>
        <v>0</v>
      </c>
      <c r="S84">
        <f t="shared" si="40"/>
        <v>0</v>
      </c>
      <c r="T84">
        <f t="shared" si="41"/>
        <v>0</v>
      </c>
      <c r="U84">
        <f t="shared" si="42"/>
        <v>0</v>
      </c>
      <c r="V84">
        <f t="shared" si="43"/>
        <v>0</v>
      </c>
      <c r="W84">
        <f t="shared" si="44"/>
        <v>0</v>
      </c>
      <c r="X84">
        <f t="shared" si="45"/>
        <v>0</v>
      </c>
    </row>
    <row r="85" spans="8:24" x14ac:dyDescent="0.3">
      <c r="H85">
        <f t="shared" si="29"/>
        <v>0</v>
      </c>
      <c r="I85">
        <f t="shared" si="30"/>
        <v>0</v>
      </c>
      <c r="J85">
        <f t="shared" si="31"/>
        <v>0</v>
      </c>
      <c r="K85">
        <f t="shared" si="32"/>
        <v>0</v>
      </c>
      <c r="L85">
        <f t="shared" si="33"/>
        <v>0</v>
      </c>
      <c r="M85" t="str">
        <f t="shared" si="34"/>
        <v>DOWN</v>
      </c>
      <c r="N85">
        <f t="shared" si="35"/>
        <v>0</v>
      </c>
      <c r="O85">
        <f t="shared" si="36"/>
        <v>0</v>
      </c>
      <c r="P85">
        <f t="shared" si="37"/>
        <v>0</v>
      </c>
      <c r="Q85">
        <f t="shared" si="38"/>
        <v>0</v>
      </c>
      <c r="R85">
        <f t="shared" si="39"/>
        <v>0</v>
      </c>
      <c r="S85">
        <f t="shared" si="40"/>
        <v>0</v>
      </c>
      <c r="T85">
        <f t="shared" si="41"/>
        <v>0</v>
      </c>
      <c r="U85">
        <f t="shared" si="42"/>
        <v>0</v>
      </c>
      <c r="V85">
        <f t="shared" si="43"/>
        <v>0</v>
      </c>
      <c r="W85">
        <f t="shared" si="44"/>
        <v>0</v>
      </c>
      <c r="X85">
        <f t="shared" si="45"/>
        <v>0</v>
      </c>
    </row>
    <row r="86" spans="8:24" x14ac:dyDescent="0.3">
      <c r="H86">
        <f t="shared" si="29"/>
        <v>0</v>
      </c>
      <c r="I86">
        <f t="shared" si="30"/>
        <v>0</v>
      </c>
      <c r="J86">
        <f t="shared" si="31"/>
        <v>0</v>
      </c>
      <c r="K86">
        <f t="shared" si="32"/>
        <v>0</v>
      </c>
      <c r="L86">
        <f t="shared" si="33"/>
        <v>0</v>
      </c>
      <c r="M86" t="str">
        <f t="shared" si="34"/>
        <v>DOWN</v>
      </c>
      <c r="N86">
        <f t="shared" si="35"/>
        <v>0</v>
      </c>
      <c r="O86">
        <f t="shared" si="36"/>
        <v>0</v>
      </c>
      <c r="P86">
        <f t="shared" si="37"/>
        <v>0</v>
      </c>
      <c r="Q86">
        <f t="shared" si="38"/>
        <v>0</v>
      </c>
      <c r="R86">
        <f t="shared" si="39"/>
        <v>0</v>
      </c>
      <c r="S86">
        <f t="shared" si="40"/>
        <v>0</v>
      </c>
      <c r="T86">
        <f t="shared" si="41"/>
        <v>0</v>
      </c>
      <c r="U86">
        <f t="shared" si="42"/>
        <v>0</v>
      </c>
      <c r="V86">
        <f t="shared" si="43"/>
        <v>0</v>
      </c>
      <c r="W86">
        <f t="shared" si="44"/>
        <v>0</v>
      </c>
      <c r="X86">
        <f t="shared" si="45"/>
        <v>0</v>
      </c>
    </row>
    <row r="87" spans="8:24" x14ac:dyDescent="0.3">
      <c r="H87">
        <f t="shared" si="29"/>
        <v>0</v>
      </c>
      <c r="I87">
        <f t="shared" si="30"/>
        <v>0</v>
      </c>
      <c r="J87">
        <f t="shared" si="31"/>
        <v>0</v>
      </c>
      <c r="K87">
        <f t="shared" si="32"/>
        <v>0</v>
      </c>
      <c r="L87">
        <f t="shared" si="33"/>
        <v>0</v>
      </c>
      <c r="M87" t="str">
        <f t="shared" si="34"/>
        <v>DOWN</v>
      </c>
      <c r="N87">
        <f t="shared" si="35"/>
        <v>0</v>
      </c>
      <c r="O87">
        <f t="shared" si="36"/>
        <v>0</v>
      </c>
      <c r="P87">
        <f t="shared" si="37"/>
        <v>0</v>
      </c>
      <c r="Q87">
        <f t="shared" si="38"/>
        <v>0</v>
      </c>
      <c r="R87">
        <f t="shared" si="39"/>
        <v>0</v>
      </c>
      <c r="S87">
        <f t="shared" si="40"/>
        <v>0</v>
      </c>
      <c r="T87">
        <f t="shared" si="41"/>
        <v>0</v>
      </c>
      <c r="U87">
        <f t="shared" si="42"/>
        <v>0</v>
      </c>
      <c r="V87">
        <f t="shared" si="43"/>
        <v>0</v>
      </c>
      <c r="W87">
        <f t="shared" si="44"/>
        <v>0</v>
      </c>
      <c r="X87">
        <f t="shared" si="45"/>
        <v>0</v>
      </c>
    </row>
    <row r="88" spans="8:24" x14ac:dyDescent="0.3">
      <c r="H88">
        <f t="shared" si="29"/>
        <v>0</v>
      </c>
      <c r="I88">
        <f t="shared" si="30"/>
        <v>0</v>
      </c>
      <c r="J88">
        <f t="shared" si="31"/>
        <v>0</v>
      </c>
      <c r="K88">
        <f t="shared" si="32"/>
        <v>0</v>
      </c>
      <c r="L88">
        <f t="shared" si="33"/>
        <v>0</v>
      </c>
      <c r="M88" t="str">
        <f t="shared" si="34"/>
        <v>DOWN</v>
      </c>
      <c r="N88">
        <f t="shared" si="35"/>
        <v>0</v>
      </c>
      <c r="O88">
        <f t="shared" si="36"/>
        <v>0</v>
      </c>
      <c r="P88">
        <f t="shared" si="37"/>
        <v>0</v>
      </c>
      <c r="Q88">
        <f t="shared" si="38"/>
        <v>0</v>
      </c>
      <c r="R88">
        <f t="shared" si="39"/>
        <v>0</v>
      </c>
      <c r="S88">
        <f t="shared" si="40"/>
        <v>0</v>
      </c>
      <c r="T88">
        <f t="shared" si="41"/>
        <v>0</v>
      </c>
      <c r="U88">
        <f t="shared" si="42"/>
        <v>0</v>
      </c>
      <c r="V88">
        <f t="shared" si="43"/>
        <v>0</v>
      </c>
      <c r="W88">
        <f t="shared" si="44"/>
        <v>0</v>
      </c>
      <c r="X88">
        <f t="shared" si="45"/>
        <v>0</v>
      </c>
    </row>
    <row r="89" spans="8:24" x14ac:dyDescent="0.3">
      <c r="H89">
        <f t="shared" si="29"/>
        <v>0</v>
      </c>
      <c r="I89">
        <f t="shared" si="30"/>
        <v>0</v>
      </c>
      <c r="J89">
        <f t="shared" si="31"/>
        <v>0</v>
      </c>
      <c r="K89">
        <f t="shared" si="32"/>
        <v>0</v>
      </c>
      <c r="L89">
        <f t="shared" si="33"/>
        <v>0</v>
      </c>
      <c r="M89" t="str">
        <f t="shared" si="34"/>
        <v>DOWN</v>
      </c>
      <c r="N89">
        <f t="shared" si="35"/>
        <v>0</v>
      </c>
      <c r="O89">
        <f t="shared" si="36"/>
        <v>0</v>
      </c>
      <c r="P89">
        <f t="shared" si="37"/>
        <v>0</v>
      </c>
      <c r="Q89">
        <f t="shared" si="38"/>
        <v>0</v>
      </c>
      <c r="R89">
        <f t="shared" si="39"/>
        <v>0</v>
      </c>
      <c r="S89">
        <f t="shared" si="40"/>
        <v>0</v>
      </c>
      <c r="T89">
        <f t="shared" si="41"/>
        <v>0</v>
      </c>
      <c r="U89">
        <f t="shared" si="42"/>
        <v>0</v>
      </c>
      <c r="V89">
        <f t="shared" si="43"/>
        <v>0</v>
      </c>
      <c r="W89">
        <f t="shared" si="44"/>
        <v>0</v>
      </c>
      <c r="X89">
        <f t="shared" si="45"/>
        <v>0</v>
      </c>
    </row>
    <row r="90" spans="8:24" x14ac:dyDescent="0.3">
      <c r="H90">
        <f t="shared" si="29"/>
        <v>0</v>
      </c>
      <c r="I90">
        <f t="shared" si="30"/>
        <v>0</v>
      </c>
      <c r="J90">
        <f t="shared" si="31"/>
        <v>0</v>
      </c>
      <c r="K90">
        <f t="shared" si="32"/>
        <v>0</v>
      </c>
      <c r="L90">
        <f t="shared" si="33"/>
        <v>0</v>
      </c>
      <c r="M90" t="str">
        <f t="shared" si="34"/>
        <v>DOWN</v>
      </c>
      <c r="N90">
        <f t="shared" si="35"/>
        <v>0</v>
      </c>
      <c r="O90">
        <f t="shared" si="36"/>
        <v>0</v>
      </c>
      <c r="P90">
        <f t="shared" si="37"/>
        <v>0</v>
      </c>
      <c r="Q90">
        <f t="shared" si="38"/>
        <v>0</v>
      </c>
      <c r="R90">
        <f t="shared" si="39"/>
        <v>0</v>
      </c>
      <c r="S90">
        <f t="shared" si="40"/>
        <v>0</v>
      </c>
      <c r="T90">
        <f t="shared" si="41"/>
        <v>0</v>
      </c>
      <c r="U90">
        <f t="shared" si="42"/>
        <v>0</v>
      </c>
      <c r="V90">
        <f t="shared" si="43"/>
        <v>0</v>
      </c>
      <c r="W90">
        <f t="shared" si="44"/>
        <v>0</v>
      </c>
      <c r="X90">
        <f t="shared" si="45"/>
        <v>0</v>
      </c>
    </row>
    <row r="91" spans="8:24" x14ac:dyDescent="0.3">
      <c r="H91">
        <f t="shared" si="29"/>
        <v>0</v>
      </c>
      <c r="I91">
        <f t="shared" si="30"/>
        <v>0</v>
      </c>
      <c r="J91">
        <f t="shared" si="31"/>
        <v>0</v>
      </c>
      <c r="K91">
        <f t="shared" si="32"/>
        <v>0</v>
      </c>
      <c r="L91">
        <f t="shared" si="33"/>
        <v>0</v>
      </c>
      <c r="M91" t="str">
        <f t="shared" si="34"/>
        <v>DOWN</v>
      </c>
      <c r="N91">
        <f t="shared" si="35"/>
        <v>0</v>
      </c>
      <c r="O91">
        <f t="shared" si="36"/>
        <v>0</v>
      </c>
      <c r="P91">
        <f t="shared" si="37"/>
        <v>0</v>
      </c>
      <c r="Q91">
        <f t="shared" si="38"/>
        <v>0</v>
      </c>
      <c r="R91">
        <f t="shared" si="39"/>
        <v>0</v>
      </c>
      <c r="S91">
        <f t="shared" si="40"/>
        <v>0</v>
      </c>
      <c r="T91">
        <f t="shared" si="41"/>
        <v>0</v>
      </c>
      <c r="U91">
        <f t="shared" si="42"/>
        <v>0</v>
      </c>
      <c r="V91">
        <f t="shared" si="43"/>
        <v>0</v>
      </c>
      <c r="W91">
        <f t="shared" si="44"/>
        <v>0</v>
      </c>
      <c r="X91">
        <f t="shared" si="45"/>
        <v>0</v>
      </c>
    </row>
    <row r="92" spans="8:24" x14ac:dyDescent="0.3">
      <c r="H92">
        <f t="shared" si="29"/>
        <v>0</v>
      </c>
      <c r="I92">
        <f t="shared" si="30"/>
        <v>0</v>
      </c>
      <c r="J92">
        <f t="shared" si="31"/>
        <v>0</v>
      </c>
      <c r="K92">
        <f t="shared" si="32"/>
        <v>0</v>
      </c>
      <c r="L92">
        <f t="shared" si="33"/>
        <v>0</v>
      </c>
      <c r="M92" t="str">
        <f t="shared" si="34"/>
        <v>DOWN</v>
      </c>
      <c r="N92">
        <f t="shared" si="35"/>
        <v>0</v>
      </c>
      <c r="O92">
        <f t="shared" si="36"/>
        <v>0</v>
      </c>
      <c r="P92">
        <f t="shared" si="37"/>
        <v>0</v>
      </c>
      <c r="Q92">
        <f t="shared" si="38"/>
        <v>0</v>
      </c>
      <c r="R92">
        <f t="shared" si="39"/>
        <v>0</v>
      </c>
      <c r="S92">
        <f t="shared" si="40"/>
        <v>0</v>
      </c>
      <c r="T92">
        <f t="shared" si="41"/>
        <v>0</v>
      </c>
      <c r="U92">
        <f t="shared" si="42"/>
        <v>0</v>
      </c>
      <c r="V92">
        <f t="shared" si="43"/>
        <v>0</v>
      </c>
      <c r="W92">
        <f t="shared" si="44"/>
        <v>0</v>
      </c>
      <c r="X92">
        <f t="shared" si="45"/>
        <v>0</v>
      </c>
    </row>
    <row r="93" spans="8:24" x14ac:dyDescent="0.3">
      <c r="H93">
        <f t="shared" si="29"/>
        <v>0</v>
      </c>
      <c r="I93">
        <f t="shared" si="30"/>
        <v>0</v>
      </c>
      <c r="J93">
        <f t="shared" si="31"/>
        <v>0</v>
      </c>
      <c r="K93">
        <f t="shared" si="32"/>
        <v>0</v>
      </c>
      <c r="L93">
        <f t="shared" si="33"/>
        <v>0</v>
      </c>
      <c r="M93" t="str">
        <f t="shared" si="34"/>
        <v>DOWN</v>
      </c>
      <c r="N93">
        <f t="shared" si="35"/>
        <v>0</v>
      </c>
      <c r="O93">
        <f t="shared" si="36"/>
        <v>0</v>
      </c>
      <c r="P93">
        <f t="shared" si="37"/>
        <v>0</v>
      </c>
      <c r="Q93">
        <f t="shared" si="38"/>
        <v>0</v>
      </c>
      <c r="R93">
        <f t="shared" si="39"/>
        <v>0</v>
      </c>
      <c r="S93">
        <f t="shared" si="40"/>
        <v>0</v>
      </c>
      <c r="T93">
        <f t="shared" si="41"/>
        <v>0</v>
      </c>
      <c r="U93">
        <f t="shared" si="42"/>
        <v>0</v>
      </c>
      <c r="V93">
        <f t="shared" si="43"/>
        <v>0</v>
      </c>
      <c r="W93">
        <f t="shared" si="44"/>
        <v>0</v>
      </c>
      <c r="X93">
        <f t="shared" si="45"/>
        <v>0</v>
      </c>
    </row>
    <row r="94" spans="8:24" x14ac:dyDescent="0.3">
      <c r="H94">
        <f t="shared" si="29"/>
        <v>0</v>
      </c>
      <c r="I94">
        <f t="shared" si="30"/>
        <v>0</v>
      </c>
      <c r="J94">
        <f t="shared" si="31"/>
        <v>0</v>
      </c>
      <c r="K94">
        <f t="shared" si="32"/>
        <v>0</v>
      </c>
      <c r="L94">
        <f t="shared" si="33"/>
        <v>0</v>
      </c>
      <c r="M94" t="str">
        <f t="shared" si="34"/>
        <v>DOWN</v>
      </c>
      <c r="N94">
        <f t="shared" si="35"/>
        <v>0</v>
      </c>
      <c r="O94">
        <f t="shared" si="36"/>
        <v>0</v>
      </c>
      <c r="P94">
        <f t="shared" si="37"/>
        <v>0</v>
      </c>
      <c r="Q94">
        <f t="shared" si="38"/>
        <v>0</v>
      </c>
      <c r="R94">
        <f t="shared" si="39"/>
        <v>0</v>
      </c>
      <c r="S94">
        <f t="shared" si="40"/>
        <v>0</v>
      </c>
      <c r="T94">
        <f t="shared" si="41"/>
        <v>0</v>
      </c>
      <c r="U94">
        <f t="shared" si="42"/>
        <v>0</v>
      </c>
      <c r="V94">
        <f t="shared" si="43"/>
        <v>0</v>
      </c>
      <c r="W94">
        <f t="shared" si="44"/>
        <v>0</v>
      </c>
      <c r="X94">
        <f t="shared" si="45"/>
        <v>0</v>
      </c>
    </row>
    <row r="95" spans="8:24" x14ac:dyDescent="0.3">
      <c r="H95">
        <f t="shared" si="29"/>
        <v>0</v>
      </c>
      <c r="I95">
        <f t="shared" si="30"/>
        <v>0</v>
      </c>
      <c r="J95">
        <f t="shared" si="31"/>
        <v>0</v>
      </c>
      <c r="K95">
        <f t="shared" si="32"/>
        <v>0</v>
      </c>
      <c r="L95">
        <f t="shared" si="33"/>
        <v>0</v>
      </c>
      <c r="M95" t="str">
        <f t="shared" si="34"/>
        <v>DOWN</v>
      </c>
      <c r="N95">
        <f t="shared" si="35"/>
        <v>0</v>
      </c>
      <c r="O95">
        <f t="shared" si="36"/>
        <v>0</v>
      </c>
      <c r="P95">
        <f t="shared" si="37"/>
        <v>0</v>
      </c>
      <c r="Q95">
        <f t="shared" si="38"/>
        <v>0</v>
      </c>
      <c r="R95">
        <f t="shared" si="39"/>
        <v>0</v>
      </c>
      <c r="S95">
        <f t="shared" si="40"/>
        <v>0</v>
      </c>
      <c r="T95">
        <f t="shared" si="41"/>
        <v>0</v>
      </c>
      <c r="U95">
        <f t="shared" si="42"/>
        <v>0</v>
      </c>
      <c r="V95">
        <f t="shared" si="43"/>
        <v>0</v>
      </c>
      <c r="W95">
        <f t="shared" si="44"/>
        <v>0</v>
      </c>
      <c r="X95">
        <f t="shared" si="45"/>
        <v>0</v>
      </c>
    </row>
    <row r="96" spans="8:24" x14ac:dyDescent="0.3">
      <c r="H96">
        <f t="shared" si="29"/>
        <v>0</v>
      </c>
      <c r="I96">
        <f t="shared" si="30"/>
        <v>0</v>
      </c>
      <c r="J96">
        <f t="shared" si="31"/>
        <v>0</v>
      </c>
      <c r="K96">
        <f t="shared" si="32"/>
        <v>0</v>
      </c>
      <c r="L96">
        <f t="shared" si="33"/>
        <v>0</v>
      </c>
      <c r="M96" t="str">
        <f t="shared" si="34"/>
        <v>DOWN</v>
      </c>
      <c r="N96">
        <f t="shared" si="35"/>
        <v>0</v>
      </c>
      <c r="O96">
        <f t="shared" si="36"/>
        <v>0</v>
      </c>
      <c r="P96">
        <f t="shared" si="37"/>
        <v>0</v>
      </c>
      <c r="Q96">
        <f t="shared" si="38"/>
        <v>0</v>
      </c>
      <c r="R96">
        <f t="shared" si="39"/>
        <v>0</v>
      </c>
      <c r="S96">
        <f t="shared" si="40"/>
        <v>0</v>
      </c>
      <c r="T96">
        <f t="shared" si="41"/>
        <v>0</v>
      </c>
      <c r="U96">
        <f t="shared" si="42"/>
        <v>0</v>
      </c>
      <c r="V96">
        <f t="shared" si="43"/>
        <v>0</v>
      </c>
      <c r="W96">
        <f t="shared" si="44"/>
        <v>0</v>
      </c>
      <c r="X96">
        <f t="shared" si="45"/>
        <v>0</v>
      </c>
    </row>
    <row r="97" spans="8:24" x14ac:dyDescent="0.3">
      <c r="H97">
        <f t="shared" si="29"/>
        <v>0</v>
      </c>
      <c r="I97">
        <f t="shared" si="30"/>
        <v>0</v>
      </c>
      <c r="J97">
        <f t="shared" si="31"/>
        <v>0</v>
      </c>
      <c r="K97">
        <f t="shared" si="32"/>
        <v>0</v>
      </c>
      <c r="L97">
        <f t="shared" si="33"/>
        <v>0</v>
      </c>
      <c r="M97" t="str">
        <f t="shared" si="34"/>
        <v>DOWN</v>
      </c>
      <c r="N97">
        <f t="shared" si="35"/>
        <v>0</v>
      </c>
      <c r="O97">
        <f t="shared" si="36"/>
        <v>0</v>
      </c>
      <c r="P97">
        <f t="shared" si="37"/>
        <v>0</v>
      </c>
      <c r="Q97">
        <f t="shared" si="38"/>
        <v>0</v>
      </c>
      <c r="R97">
        <f t="shared" si="39"/>
        <v>0</v>
      </c>
      <c r="S97">
        <f t="shared" si="40"/>
        <v>0</v>
      </c>
      <c r="T97">
        <f t="shared" si="41"/>
        <v>0</v>
      </c>
      <c r="U97">
        <f t="shared" si="42"/>
        <v>0</v>
      </c>
      <c r="V97">
        <f t="shared" si="43"/>
        <v>0</v>
      </c>
      <c r="W97">
        <f t="shared" si="44"/>
        <v>0</v>
      </c>
      <c r="X97">
        <f t="shared" si="45"/>
        <v>0</v>
      </c>
    </row>
    <row r="98" spans="8:24" x14ac:dyDescent="0.3">
      <c r="H98">
        <f t="shared" ref="H98:H129" si="46">E99</f>
        <v>0</v>
      </c>
      <c r="I98">
        <f t="shared" ref="I98:I129" si="47">MAX(C98,H98)</f>
        <v>0</v>
      </c>
      <c r="J98">
        <f t="shared" ref="J98:J129" si="48">MIN(D98,H98)</f>
        <v>0</v>
      </c>
      <c r="K98">
        <f t="shared" ref="K98:K129" si="49">I98-J98</f>
        <v>0</v>
      </c>
      <c r="L98">
        <f t="shared" ref="L98:L129" si="50">B98-E99</f>
        <v>0</v>
      </c>
      <c r="M98" t="str">
        <f t="shared" ref="M98:M129" si="51">IF(E98&gt;E99,"UP","DOWN")</f>
        <v>DOWN</v>
      </c>
      <c r="N98">
        <f t="shared" ref="N98:N129" si="52">E98-E99</f>
        <v>0</v>
      </c>
      <c r="O98">
        <f t="shared" si="36"/>
        <v>0</v>
      </c>
      <c r="P98">
        <f t="shared" si="37"/>
        <v>0</v>
      </c>
      <c r="Q98">
        <f t="shared" ref="Q98:Q129" si="53">SUM(N98:N147)</f>
        <v>0</v>
      </c>
      <c r="R98">
        <f t="shared" si="39"/>
        <v>0</v>
      </c>
      <c r="S98">
        <f t="shared" si="40"/>
        <v>0</v>
      </c>
      <c r="T98">
        <f t="shared" si="41"/>
        <v>0</v>
      </c>
      <c r="U98">
        <f t="shared" si="42"/>
        <v>0</v>
      </c>
      <c r="V98">
        <f t="shared" ref="V98:V129" si="54">SUM(E98:E197)/100</f>
        <v>0</v>
      </c>
      <c r="W98">
        <f t="shared" ref="W98:W129" si="55">V98-V99</f>
        <v>0</v>
      </c>
      <c r="X98">
        <f t="shared" ref="X98:X129" si="56">SUM(E98:E297)/200</f>
        <v>0</v>
      </c>
    </row>
    <row r="99" spans="8:24" x14ac:dyDescent="0.3">
      <c r="H99">
        <f t="shared" si="46"/>
        <v>0</v>
      </c>
      <c r="I99">
        <f t="shared" si="47"/>
        <v>0</v>
      </c>
      <c r="J99">
        <f t="shared" si="48"/>
        <v>0</v>
      </c>
      <c r="K99">
        <f t="shared" si="49"/>
        <v>0</v>
      </c>
      <c r="L99">
        <f t="shared" si="50"/>
        <v>0</v>
      </c>
      <c r="M99" t="str">
        <f t="shared" si="51"/>
        <v>DOWN</v>
      </c>
      <c r="N99">
        <f t="shared" si="52"/>
        <v>0</v>
      </c>
      <c r="O99">
        <f t="shared" si="36"/>
        <v>0</v>
      </c>
      <c r="P99">
        <f t="shared" si="37"/>
        <v>0</v>
      </c>
      <c r="Q99">
        <f t="shared" si="53"/>
        <v>0</v>
      </c>
      <c r="R99">
        <f t="shared" si="39"/>
        <v>0</v>
      </c>
      <c r="S99">
        <f t="shared" si="40"/>
        <v>0</v>
      </c>
      <c r="T99">
        <f t="shared" si="41"/>
        <v>0</v>
      </c>
      <c r="U99">
        <f t="shared" si="42"/>
        <v>0</v>
      </c>
      <c r="V99">
        <f t="shared" si="54"/>
        <v>0</v>
      </c>
      <c r="W99">
        <f t="shared" si="55"/>
        <v>0</v>
      </c>
      <c r="X99">
        <f t="shared" si="56"/>
        <v>0</v>
      </c>
    </row>
    <row r="100" spans="8:24" x14ac:dyDescent="0.3">
      <c r="H100">
        <f t="shared" si="46"/>
        <v>0</v>
      </c>
      <c r="I100">
        <f t="shared" si="47"/>
        <v>0</v>
      </c>
      <c r="J100">
        <f t="shared" si="48"/>
        <v>0</v>
      </c>
      <c r="K100">
        <f t="shared" si="49"/>
        <v>0</v>
      </c>
      <c r="L100">
        <f t="shared" si="50"/>
        <v>0</v>
      </c>
      <c r="M100" t="str">
        <f t="shared" si="51"/>
        <v>DOWN</v>
      </c>
      <c r="N100">
        <f t="shared" si="52"/>
        <v>0</v>
      </c>
      <c r="O100">
        <f t="shared" si="36"/>
        <v>0</v>
      </c>
      <c r="P100">
        <f t="shared" si="37"/>
        <v>0</v>
      </c>
      <c r="Q100">
        <f t="shared" si="53"/>
        <v>0</v>
      </c>
      <c r="R100">
        <f t="shared" si="39"/>
        <v>0</v>
      </c>
      <c r="S100">
        <f t="shared" si="40"/>
        <v>0</v>
      </c>
      <c r="T100">
        <f t="shared" si="41"/>
        <v>0</v>
      </c>
      <c r="U100">
        <f t="shared" si="42"/>
        <v>0</v>
      </c>
      <c r="V100">
        <f t="shared" si="54"/>
        <v>0</v>
      </c>
      <c r="W100">
        <f t="shared" si="55"/>
        <v>0</v>
      </c>
      <c r="X100">
        <f t="shared" si="56"/>
        <v>0</v>
      </c>
    </row>
    <row r="101" spans="8:24" x14ac:dyDescent="0.3">
      <c r="H101">
        <f t="shared" si="46"/>
        <v>0</v>
      </c>
      <c r="I101">
        <f t="shared" si="47"/>
        <v>0</v>
      </c>
      <c r="J101">
        <f t="shared" si="48"/>
        <v>0</v>
      </c>
      <c r="K101">
        <f t="shared" si="49"/>
        <v>0</v>
      </c>
      <c r="L101">
        <f t="shared" si="50"/>
        <v>0</v>
      </c>
      <c r="M101" t="str">
        <f t="shared" si="51"/>
        <v>DOWN</v>
      </c>
      <c r="N101">
        <f t="shared" si="52"/>
        <v>0</v>
      </c>
      <c r="O101">
        <f t="shared" si="36"/>
        <v>0</v>
      </c>
      <c r="P101">
        <f t="shared" si="37"/>
        <v>0</v>
      </c>
      <c r="Q101">
        <f t="shared" si="53"/>
        <v>0</v>
      </c>
      <c r="R101">
        <f t="shared" si="39"/>
        <v>0</v>
      </c>
      <c r="S101">
        <f t="shared" si="40"/>
        <v>0</v>
      </c>
      <c r="T101">
        <f t="shared" si="41"/>
        <v>0</v>
      </c>
      <c r="U101">
        <f t="shared" si="42"/>
        <v>0</v>
      </c>
      <c r="V101">
        <f t="shared" si="54"/>
        <v>0</v>
      </c>
      <c r="W101">
        <f t="shared" si="55"/>
        <v>0</v>
      </c>
      <c r="X101">
        <f t="shared" si="56"/>
        <v>0</v>
      </c>
    </row>
    <row r="102" spans="8:24" x14ac:dyDescent="0.3">
      <c r="H102">
        <f t="shared" si="46"/>
        <v>0</v>
      </c>
      <c r="I102">
        <f t="shared" si="47"/>
        <v>0</v>
      </c>
      <c r="J102">
        <f t="shared" si="48"/>
        <v>0</v>
      </c>
      <c r="K102">
        <f t="shared" si="49"/>
        <v>0</v>
      </c>
      <c r="L102">
        <f t="shared" si="50"/>
        <v>0</v>
      </c>
      <c r="M102" t="str">
        <f t="shared" si="51"/>
        <v>DOWN</v>
      </c>
      <c r="N102">
        <f t="shared" si="52"/>
        <v>0</v>
      </c>
      <c r="O102">
        <f t="shared" si="36"/>
        <v>0</v>
      </c>
      <c r="P102">
        <f t="shared" si="37"/>
        <v>0</v>
      </c>
      <c r="Q102">
        <f t="shared" si="53"/>
        <v>0</v>
      </c>
      <c r="R102">
        <f t="shared" si="39"/>
        <v>0</v>
      </c>
      <c r="S102">
        <f t="shared" si="40"/>
        <v>0</v>
      </c>
      <c r="T102">
        <f t="shared" si="41"/>
        <v>0</v>
      </c>
      <c r="U102">
        <f t="shared" si="42"/>
        <v>0</v>
      </c>
      <c r="V102">
        <f t="shared" si="54"/>
        <v>0</v>
      </c>
      <c r="W102">
        <f t="shared" si="55"/>
        <v>0</v>
      </c>
      <c r="X102">
        <f t="shared" si="56"/>
        <v>0</v>
      </c>
    </row>
    <row r="103" spans="8:24" x14ac:dyDescent="0.3">
      <c r="H103">
        <f t="shared" si="46"/>
        <v>0</v>
      </c>
      <c r="I103">
        <f t="shared" si="47"/>
        <v>0</v>
      </c>
      <c r="J103">
        <f t="shared" si="48"/>
        <v>0</v>
      </c>
      <c r="K103">
        <f t="shared" si="49"/>
        <v>0</v>
      </c>
      <c r="L103">
        <f t="shared" si="50"/>
        <v>0</v>
      </c>
      <c r="M103" t="str">
        <f t="shared" si="51"/>
        <v>DOWN</v>
      </c>
      <c r="N103">
        <f t="shared" si="52"/>
        <v>0</v>
      </c>
      <c r="O103">
        <f t="shared" si="36"/>
        <v>0</v>
      </c>
      <c r="P103">
        <f t="shared" si="37"/>
        <v>0</v>
      </c>
      <c r="Q103">
        <f t="shared" si="53"/>
        <v>0</v>
      </c>
      <c r="R103">
        <f t="shared" si="39"/>
        <v>0</v>
      </c>
      <c r="S103">
        <f t="shared" si="40"/>
        <v>0</v>
      </c>
      <c r="T103">
        <f t="shared" si="41"/>
        <v>0</v>
      </c>
      <c r="U103">
        <f t="shared" si="42"/>
        <v>0</v>
      </c>
      <c r="V103">
        <f t="shared" si="54"/>
        <v>0</v>
      </c>
      <c r="W103">
        <f t="shared" si="55"/>
        <v>0</v>
      </c>
      <c r="X103">
        <f t="shared" si="56"/>
        <v>0</v>
      </c>
    </row>
    <row r="104" spans="8:24" x14ac:dyDescent="0.3">
      <c r="H104">
        <f t="shared" si="46"/>
        <v>0</v>
      </c>
      <c r="I104">
        <f t="shared" si="47"/>
        <v>0</v>
      </c>
      <c r="J104">
        <f t="shared" si="48"/>
        <v>0</v>
      </c>
      <c r="K104">
        <f t="shared" si="49"/>
        <v>0</v>
      </c>
      <c r="L104">
        <f t="shared" si="50"/>
        <v>0</v>
      </c>
      <c r="M104" t="str">
        <f t="shared" si="51"/>
        <v>DOWN</v>
      </c>
      <c r="N104">
        <f t="shared" si="52"/>
        <v>0</v>
      </c>
      <c r="O104">
        <f t="shared" si="36"/>
        <v>0</v>
      </c>
      <c r="P104">
        <f t="shared" si="37"/>
        <v>0</v>
      </c>
      <c r="Q104">
        <f t="shared" si="53"/>
        <v>0</v>
      </c>
      <c r="R104">
        <f t="shared" si="39"/>
        <v>0</v>
      </c>
      <c r="S104">
        <f t="shared" si="40"/>
        <v>0</v>
      </c>
      <c r="T104">
        <f t="shared" si="41"/>
        <v>0</v>
      </c>
      <c r="U104">
        <f t="shared" si="42"/>
        <v>0</v>
      </c>
      <c r="V104">
        <f t="shared" si="54"/>
        <v>0</v>
      </c>
      <c r="W104">
        <f t="shared" si="55"/>
        <v>0</v>
      </c>
      <c r="X104">
        <f t="shared" si="56"/>
        <v>0</v>
      </c>
    </row>
    <row r="105" spans="8:24" x14ac:dyDescent="0.3">
      <c r="H105">
        <f t="shared" si="46"/>
        <v>0</v>
      </c>
      <c r="I105">
        <f t="shared" si="47"/>
        <v>0</v>
      </c>
      <c r="J105">
        <f t="shared" si="48"/>
        <v>0</v>
      </c>
      <c r="K105">
        <f t="shared" si="49"/>
        <v>0</v>
      </c>
      <c r="L105">
        <f t="shared" si="50"/>
        <v>0</v>
      </c>
      <c r="M105" t="str">
        <f t="shared" si="51"/>
        <v>DOWN</v>
      </c>
      <c r="N105">
        <f t="shared" si="52"/>
        <v>0</v>
      </c>
      <c r="O105">
        <f t="shared" si="36"/>
        <v>0</v>
      </c>
      <c r="P105">
        <f t="shared" si="37"/>
        <v>0</v>
      </c>
      <c r="Q105">
        <f t="shared" si="53"/>
        <v>0</v>
      </c>
      <c r="R105">
        <f t="shared" si="39"/>
        <v>0</v>
      </c>
      <c r="S105">
        <f t="shared" si="40"/>
        <v>0</v>
      </c>
      <c r="T105">
        <f t="shared" si="41"/>
        <v>0</v>
      </c>
      <c r="U105">
        <f t="shared" si="42"/>
        <v>0</v>
      </c>
      <c r="V105">
        <f t="shared" si="54"/>
        <v>0</v>
      </c>
      <c r="W105">
        <f t="shared" si="55"/>
        <v>0</v>
      </c>
      <c r="X105">
        <f t="shared" si="56"/>
        <v>0</v>
      </c>
    </row>
    <row r="106" spans="8:24" x14ac:dyDescent="0.3">
      <c r="H106">
        <f t="shared" si="46"/>
        <v>0</v>
      </c>
      <c r="I106">
        <f t="shared" si="47"/>
        <v>0</v>
      </c>
      <c r="J106">
        <f t="shared" si="48"/>
        <v>0</v>
      </c>
      <c r="K106">
        <f t="shared" si="49"/>
        <v>0</v>
      </c>
      <c r="L106">
        <f t="shared" si="50"/>
        <v>0</v>
      </c>
      <c r="M106" t="str">
        <f t="shared" si="51"/>
        <v>DOWN</v>
      </c>
      <c r="N106">
        <f t="shared" si="52"/>
        <v>0</v>
      </c>
      <c r="O106">
        <f t="shared" si="36"/>
        <v>0</v>
      </c>
      <c r="P106">
        <f t="shared" si="37"/>
        <v>0</v>
      </c>
      <c r="Q106">
        <f t="shared" si="53"/>
        <v>0</v>
      </c>
      <c r="R106">
        <f t="shared" si="39"/>
        <v>0</v>
      </c>
      <c r="S106">
        <f t="shared" si="40"/>
        <v>0</v>
      </c>
      <c r="T106">
        <f t="shared" si="41"/>
        <v>0</v>
      </c>
      <c r="U106">
        <f t="shared" si="42"/>
        <v>0</v>
      </c>
      <c r="V106">
        <f t="shared" si="54"/>
        <v>0</v>
      </c>
      <c r="W106">
        <f t="shared" si="55"/>
        <v>0</v>
      </c>
      <c r="X106">
        <f t="shared" si="56"/>
        <v>0</v>
      </c>
    </row>
    <row r="107" spans="8:24" x14ac:dyDescent="0.3">
      <c r="H107">
        <f t="shared" si="46"/>
        <v>0</v>
      </c>
      <c r="I107">
        <f t="shared" si="47"/>
        <v>0</v>
      </c>
      <c r="J107">
        <f t="shared" si="48"/>
        <v>0</v>
      </c>
      <c r="K107">
        <f t="shared" si="49"/>
        <v>0</v>
      </c>
      <c r="L107">
        <f t="shared" si="50"/>
        <v>0</v>
      </c>
      <c r="M107" t="str">
        <f t="shared" si="51"/>
        <v>DOWN</v>
      </c>
      <c r="N107">
        <f t="shared" si="52"/>
        <v>0</v>
      </c>
      <c r="O107">
        <f t="shared" si="36"/>
        <v>0</v>
      </c>
      <c r="P107">
        <f t="shared" si="37"/>
        <v>0</v>
      </c>
      <c r="Q107">
        <f t="shared" si="53"/>
        <v>0</v>
      </c>
      <c r="R107">
        <f t="shared" si="39"/>
        <v>0</v>
      </c>
      <c r="S107">
        <f t="shared" si="40"/>
        <v>0</v>
      </c>
      <c r="T107">
        <f t="shared" si="41"/>
        <v>0</v>
      </c>
      <c r="U107">
        <f t="shared" si="42"/>
        <v>0</v>
      </c>
      <c r="V107">
        <f t="shared" si="54"/>
        <v>0</v>
      </c>
      <c r="W107">
        <f t="shared" si="55"/>
        <v>0</v>
      </c>
      <c r="X107">
        <f t="shared" si="56"/>
        <v>0</v>
      </c>
    </row>
    <row r="108" spans="8:24" x14ac:dyDescent="0.3">
      <c r="H108">
        <f t="shared" si="46"/>
        <v>0</v>
      </c>
      <c r="I108">
        <f t="shared" si="47"/>
        <v>0</v>
      </c>
      <c r="J108">
        <f t="shared" si="48"/>
        <v>0</v>
      </c>
      <c r="K108">
        <f t="shared" si="49"/>
        <v>0</v>
      </c>
      <c r="L108">
        <f t="shared" si="50"/>
        <v>0</v>
      </c>
      <c r="M108" t="str">
        <f t="shared" si="51"/>
        <v>DOWN</v>
      </c>
      <c r="N108">
        <f t="shared" si="52"/>
        <v>0</v>
      </c>
      <c r="O108">
        <f t="shared" si="36"/>
        <v>0</v>
      </c>
      <c r="P108">
        <f t="shared" si="37"/>
        <v>0</v>
      </c>
      <c r="Q108">
        <f t="shared" si="53"/>
        <v>0</v>
      </c>
      <c r="R108">
        <f t="shared" si="39"/>
        <v>0</v>
      </c>
      <c r="S108">
        <f t="shared" si="40"/>
        <v>0</v>
      </c>
      <c r="T108">
        <f t="shared" si="41"/>
        <v>0</v>
      </c>
      <c r="U108">
        <f t="shared" si="42"/>
        <v>0</v>
      </c>
      <c r="V108">
        <f t="shared" si="54"/>
        <v>0</v>
      </c>
      <c r="W108">
        <f t="shared" si="55"/>
        <v>0</v>
      </c>
      <c r="X108">
        <f t="shared" si="56"/>
        <v>0</v>
      </c>
    </row>
    <row r="109" spans="8:24" x14ac:dyDescent="0.3">
      <c r="H109">
        <f t="shared" si="46"/>
        <v>0</v>
      </c>
      <c r="I109">
        <f t="shared" si="47"/>
        <v>0</v>
      </c>
      <c r="J109">
        <f t="shared" si="48"/>
        <v>0</v>
      </c>
      <c r="K109">
        <f t="shared" si="49"/>
        <v>0</v>
      </c>
      <c r="L109">
        <f t="shared" si="50"/>
        <v>0</v>
      </c>
      <c r="M109" t="str">
        <f t="shared" si="51"/>
        <v>DOWN</v>
      </c>
      <c r="N109">
        <f t="shared" si="52"/>
        <v>0</v>
      </c>
      <c r="O109">
        <f t="shared" si="36"/>
        <v>0</v>
      </c>
      <c r="P109">
        <f t="shared" si="37"/>
        <v>0</v>
      </c>
      <c r="Q109">
        <f t="shared" si="53"/>
        <v>0</v>
      </c>
      <c r="R109">
        <f t="shared" si="39"/>
        <v>0</v>
      </c>
      <c r="S109">
        <f t="shared" si="40"/>
        <v>0</v>
      </c>
      <c r="T109">
        <f t="shared" si="41"/>
        <v>0</v>
      </c>
      <c r="U109">
        <f t="shared" si="42"/>
        <v>0</v>
      </c>
      <c r="V109">
        <f t="shared" si="54"/>
        <v>0</v>
      </c>
      <c r="W109">
        <f t="shared" si="55"/>
        <v>0</v>
      </c>
      <c r="X109">
        <f t="shared" si="56"/>
        <v>0</v>
      </c>
    </row>
    <row r="110" spans="8:24" x14ac:dyDescent="0.3">
      <c r="H110">
        <f t="shared" si="46"/>
        <v>0</v>
      </c>
      <c r="I110">
        <f t="shared" si="47"/>
        <v>0</v>
      </c>
      <c r="J110">
        <f t="shared" si="48"/>
        <v>0</v>
      </c>
      <c r="K110">
        <f t="shared" si="49"/>
        <v>0</v>
      </c>
      <c r="L110">
        <f t="shared" si="50"/>
        <v>0</v>
      </c>
      <c r="M110" t="str">
        <f t="shared" si="51"/>
        <v>DOWN</v>
      </c>
      <c r="N110">
        <f t="shared" si="52"/>
        <v>0</v>
      </c>
      <c r="O110">
        <f t="shared" si="36"/>
        <v>0</v>
      </c>
      <c r="P110">
        <f t="shared" si="37"/>
        <v>0</v>
      </c>
      <c r="Q110">
        <f t="shared" si="53"/>
        <v>0</v>
      </c>
      <c r="R110">
        <f t="shared" si="39"/>
        <v>0</v>
      </c>
      <c r="S110">
        <f t="shared" si="40"/>
        <v>0</v>
      </c>
      <c r="T110">
        <f t="shared" si="41"/>
        <v>0</v>
      </c>
      <c r="U110">
        <f t="shared" si="42"/>
        <v>0</v>
      </c>
      <c r="V110">
        <f t="shared" si="54"/>
        <v>0</v>
      </c>
      <c r="W110">
        <f t="shared" si="55"/>
        <v>0</v>
      </c>
      <c r="X110">
        <f t="shared" si="56"/>
        <v>0</v>
      </c>
    </row>
    <row r="111" spans="8:24" x14ac:dyDescent="0.3">
      <c r="H111">
        <f t="shared" si="46"/>
        <v>0</v>
      </c>
      <c r="I111">
        <f t="shared" si="47"/>
        <v>0</v>
      </c>
      <c r="J111">
        <f t="shared" si="48"/>
        <v>0</v>
      </c>
      <c r="K111">
        <f t="shared" si="49"/>
        <v>0</v>
      </c>
      <c r="L111">
        <f t="shared" si="50"/>
        <v>0</v>
      </c>
      <c r="M111" t="str">
        <f t="shared" si="51"/>
        <v>DOWN</v>
      </c>
      <c r="N111">
        <f t="shared" si="52"/>
        <v>0</v>
      </c>
      <c r="O111">
        <f t="shared" si="36"/>
        <v>0</v>
      </c>
      <c r="P111">
        <f t="shared" si="37"/>
        <v>0</v>
      </c>
      <c r="Q111">
        <f t="shared" si="53"/>
        <v>0</v>
      </c>
      <c r="R111">
        <f t="shared" si="39"/>
        <v>0</v>
      </c>
      <c r="S111">
        <f t="shared" si="40"/>
        <v>0</v>
      </c>
      <c r="T111">
        <f t="shared" si="41"/>
        <v>0</v>
      </c>
      <c r="U111">
        <f t="shared" si="42"/>
        <v>0</v>
      </c>
      <c r="V111">
        <f t="shared" si="54"/>
        <v>0</v>
      </c>
      <c r="W111">
        <f t="shared" si="55"/>
        <v>0</v>
      </c>
      <c r="X111">
        <f t="shared" si="56"/>
        <v>0</v>
      </c>
    </row>
    <row r="112" spans="8:24" x14ac:dyDescent="0.3">
      <c r="H112">
        <f t="shared" si="46"/>
        <v>0</v>
      </c>
      <c r="I112">
        <f t="shared" si="47"/>
        <v>0</v>
      </c>
      <c r="J112">
        <f t="shared" si="48"/>
        <v>0</v>
      </c>
      <c r="K112">
        <f t="shared" si="49"/>
        <v>0</v>
      </c>
      <c r="L112">
        <f t="shared" si="50"/>
        <v>0</v>
      </c>
      <c r="M112" t="str">
        <f t="shared" si="51"/>
        <v>DOWN</v>
      </c>
      <c r="N112">
        <f t="shared" si="52"/>
        <v>0</v>
      </c>
      <c r="O112">
        <f t="shared" si="36"/>
        <v>0</v>
      </c>
      <c r="P112">
        <f t="shared" si="37"/>
        <v>0</v>
      </c>
      <c r="Q112">
        <f t="shared" si="53"/>
        <v>0</v>
      </c>
      <c r="R112">
        <f t="shared" si="39"/>
        <v>0</v>
      </c>
      <c r="S112">
        <f t="shared" si="40"/>
        <v>0</v>
      </c>
      <c r="T112">
        <f t="shared" si="41"/>
        <v>0</v>
      </c>
      <c r="U112">
        <f t="shared" si="42"/>
        <v>0</v>
      </c>
      <c r="V112">
        <f t="shared" si="54"/>
        <v>0</v>
      </c>
      <c r="W112">
        <f t="shared" si="55"/>
        <v>0</v>
      </c>
      <c r="X112">
        <f t="shared" si="56"/>
        <v>0</v>
      </c>
    </row>
    <row r="113" spans="8:24" x14ac:dyDescent="0.3">
      <c r="H113">
        <f t="shared" si="46"/>
        <v>0</v>
      </c>
      <c r="I113">
        <f t="shared" si="47"/>
        <v>0</v>
      </c>
      <c r="J113">
        <f t="shared" si="48"/>
        <v>0</v>
      </c>
      <c r="K113">
        <f t="shared" si="49"/>
        <v>0</v>
      </c>
      <c r="L113">
        <f t="shared" si="50"/>
        <v>0</v>
      </c>
      <c r="M113" t="str">
        <f t="shared" si="51"/>
        <v>DOWN</v>
      </c>
      <c r="N113">
        <f t="shared" si="52"/>
        <v>0</v>
      </c>
      <c r="O113">
        <f t="shared" si="36"/>
        <v>0</v>
      </c>
      <c r="P113">
        <f t="shared" si="37"/>
        <v>0</v>
      </c>
      <c r="Q113">
        <f t="shared" si="53"/>
        <v>0</v>
      </c>
      <c r="R113">
        <f t="shared" si="39"/>
        <v>0</v>
      </c>
      <c r="S113">
        <f t="shared" si="40"/>
        <v>0</v>
      </c>
      <c r="T113">
        <f t="shared" si="41"/>
        <v>0</v>
      </c>
      <c r="U113">
        <f t="shared" si="42"/>
        <v>0</v>
      </c>
      <c r="V113">
        <f t="shared" si="54"/>
        <v>0</v>
      </c>
      <c r="W113">
        <f t="shared" si="55"/>
        <v>0</v>
      </c>
      <c r="X113">
        <f t="shared" si="56"/>
        <v>0</v>
      </c>
    </row>
    <row r="114" spans="8:24" x14ac:dyDescent="0.3">
      <c r="H114">
        <f t="shared" si="46"/>
        <v>0</v>
      </c>
      <c r="I114">
        <f t="shared" si="47"/>
        <v>0</v>
      </c>
      <c r="J114">
        <f t="shared" si="48"/>
        <v>0</v>
      </c>
      <c r="K114">
        <f t="shared" si="49"/>
        <v>0</v>
      </c>
      <c r="L114">
        <f t="shared" si="50"/>
        <v>0</v>
      </c>
      <c r="M114" t="str">
        <f t="shared" si="51"/>
        <v>DOWN</v>
      </c>
      <c r="N114">
        <f t="shared" si="52"/>
        <v>0</v>
      </c>
      <c r="O114">
        <f t="shared" si="36"/>
        <v>0</v>
      </c>
      <c r="P114">
        <f t="shared" si="37"/>
        <v>0</v>
      </c>
      <c r="Q114">
        <f t="shared" si="53"/>
        <v>0</v>
      </c>
      <c r="R114">
        <f t="shared" si="39"/>
        <v>0</v>
      </c>
      <c r="S114">
        <f t="shared" si="40"/>
        <v>0</v>
      </c>
      <c r="T114">
        <f t="shared" si="41"/>
        <v>0</v>
      </c>
      <c r="U114">
        <f t="shared" si="42"/>
        <v>0</v>
      </c>
      <c r="V114">
        <f t="shared" si="54"/>
        <v>0</v>
      </c>
      <c r="W114">
        <f t="shared" si="55"/>
        <v>0</v>
      </c>
      <c r="X114">
        <f t="shared" si="56"/>
        <v>0</v>
      </c>
    </row>
    <row r="115" spans="8:24" x14ac:dyDescent="0.3">
      <c r="H115">
        <f t="shared" si="46"/>
        <v>0</v>
      </c>
      <c r="I115">
        <f t="shared" si="47"/>
        <v>0</v>
      </c>
      <c r="J115">
        <f t="shared" si="48"/>
        <v>0</v>
      </c>
      <c r="K115">
        <f t="shared" si="49"/>
        <v>0</v>
      </c>
      <c r="L115">
        <f t="shared" si="50"/>
        <v>0</v>
      </c>
      <c r="M115" t="str">
        <f t="shared" si="51"/>
        <v>DOWN</v>
      </c>
      <c r="N115">
        <f t="shared" si="52"/>
        <v>0</v>
      </c>
      <c r="O115">
        <f t="shared" si="36"/>
        <v>0</v>
      </c>
      <c r="P115">
        <f t="shared" si="37"/>
        <v>0</v>
      </c>
      <c r="Q115">
        <f t="shared" si="53"/>
        <v>0</v>
      </c>
      <c r="R115">
        <f t="shared" si="39"/>
        <v>0</v>
      </c>
      <c r="S115">
        <f t="shared" si="40"/>
        <v>0</v>
      </c>
      <c r="T115">
        <f t="shared" si="41"/>
        <v>0</v>
      </c>
      <c r="U115">
        <f t="shared" si="42"/>
        <v>0</v>
      </c>
      <c r="V115">
        <f t="shared" si="54"/>
        <v>0</v>
      </c>
      <c r="W115">
        <f t="shared" si="55"/>
        <v>0</v>
      </c>
      <c r="X115">
        <f t="shared" si="56"/>
        <v>0</v>
      </c>
    </row>
    <row r="116" spans="8:24" x14ac:dyDescent="0.3">
      <c r="H116">
        <f t="shared" si="46"/>
        <v>0</v>
      </c>
      <c r="I116">
        <f t="shared" si="47"/>
        <v>0</v>
      </c>
      <c r="J116">
        <f t="shared" si="48"/>
        <v>0</v>
      </c>
      <c r="K116">
        <f t="shared" si="49"/>
        <v>0</v>
      </c>
      <c r="L116">
        <f t="shared" si="50"/>
        <v>0</v>
      </c>
      <c r="M116" t="str">
        <f t="shared" si="51"/>
        <v>DOWN</v>
      </c>
      <c r="N116">
        <f t="shared" si="52"/>
        <v>0</v>
      </c>
      <c r="O116">
        <f t="shared" si="36"/>
        <v>0</v>
      </c>
      <c r="P116">
        <f t="shared" si="37"/>
        <v>0</v>
      </c>
      <c r="Q116">
        <f t="shared" si="53"/>
        <v>0</v>
      </c>
      <c r="R116">
        <f t="shared" si="39"/>
        <v>0</v>
      </c>
      <c r="S116">
        <f t="shared" si="40"/>
        <v>0</v>
      </c>
      <c r="T116">
        <f t="shared" si="41"/>
        <v>0</v>
      </c>
      <c r="U116">
        <f t="shared" si="42"/>
        <v>0</v>
      </c>
      <c r="V116">
        <f t="shared" si="54"/>
        <v>0</v>
      </c>
      <c r="W116">
        <f t="shared" si="55"/>
        <v>0</v>
      </c>
      <c r="X116">
        <f t="shared" si="56"/>
        <v>0</v>
      </c>
    </row>
    <row r="117" spans="8:24" x14ac:dyDescent="0.3">
      <c r="H117">
        <f t="shared" si="46"/>
        <v>0</v>
      </c>
      <c r="I117">
        <f t="shared" si="47"/>
        <v>0</v>
      </c>
      <c r="J117">
        <f t="shared" si="48"/>
        <v>0</v>
      </c>
      <c r="K117">
        <f t="shared" si="49"/>
        <v>0</v>
      </c>
      <c r="L117">
        <f t="shared" si="50"/>
        <v>0</v>
      </c>
      <c r="M117" t="str">
        <f t="shared" si="51"/>
        <v>DOWN</v>
      </c>
      <c r="N117">
        <f t="shared" si="52"/>
        <v>0</v>
      </c>
      <c r="O117">
        <f t="shared" si="36"/>
        <v>0</v>
      </c>
      <c r="P117">
        <f t="shared" si="37"/>
        <v>0</v>
      </c>
      <c r="Q117">
        <f t="shared" si="53"/>
        <v>0</v>
      </c>
      <c r="R117">
        <f t="shared" si="39"/>
        <v>0</v>
      </c>
      <c r="S117">
        <f t="shared" si="40"/>
        <v>0</v>
      </c>
      <c r="T117">
        <f t="shared" si="41"/>
        <v>0</v>
      </c>
      <c r="U117">
        <f t="shared" si="42"/>
        <v>0</v>
      </c>
      <c r="V117">
        <f t="shared" si="54"/>
        <v>0</v>
      </c>
      <c r="W117">
        <f t="shared" si="55"/>
        <v>0</v>
      </c>
      <c r="X117">
        <f t="shared" si="56"/>
        <v>0</v>
      </c>
    </row>
    <row r="118" spans="8:24" x14ac:dyDescent="0.3">
      <c r="H118">
        <f t="shared" si="46"/>
        <v>0</v>
      </c>
      <c r="I118">
        <f t="shared" si="47"/>
        <v>0</v>
      </c>
      <c r="J118">
        <f t="shared" si="48"/>
        <v>0</v>
      </c>
      <c r="K118">
        <f t="shared" si="49"/>
        <v>0</v>
      </c>
      <c r="L118">
        <f t="shared" si="50"/>
        <v>0</v>
      </c>
      <c r="M118" t="str">
        <f t="shared" si="51"/>
        <v>DOWN</v>
      </c>
      <c r="N118">
        <f t="shared" si="52"/>
        <v>0</v>
      </c>
      <c r="O118">
        <f t="shared" si="36"/>
        <v>0</v>
      </c>
      <c r="P118">
        <f t="shared" si="37"/>
        <v>0</v>
      </c>
      <c r="Q118">
        <f t="shared" si="53"/>
        <v>0</v>
      </c>
      <c r="R118">
        <f t="shared" si="39"/>
        <v>0</v>
      </c>
      <c r="S118">
        <f t="shared" si="40"/>
        <v>0</v>
      </c>
      <c r="T118">
        <f t="shared" si="41"/>
        <v>0</v>
      </c>
      <c r="U118">
        <f t="shared" si="42"/>
        <v>0</v>
      </c>
      <c r="V118">
        <f t="shared" si="54"/>
        <v>0</v>
      </c>
      <c r="W118">
        <f t="shared" si="55"/>
        <v>0</v>
      </c>
      <c r="X118">
        <f t="shared" si="56"/>
        <v>0</v>
      </c>
    </row>
    <row r="119" spans="8:24" x14ac:dyDescent="0.3">
      <c r="H119">
        <f t="shared" si="46"/>
        <v>0</v>
      </c>
      <c r="I119">
        <f t="shared" si="47"/>
        <v>0</v>
      </c>
      <c r="J119">
        <f t="shared" si="48"/>
        <v>0</v>
      </c>
      <c r="K119">
        <f t="shared" si="49"/>
        <v>0</v>
      </c>
      <c r="L119">
        <f t="shared" si="50"/>
        <v>0</v>
      </c>
      <c r="M119" t="str">
        <f t="shared" si="51"/>
        <v>DOWN</v>
      </c>
      <c r="N119">
        <f t="shared" si="52"/>
        <v>0</v>
      </c>
      <c r="O119">
        <f t="shared" si="36"/>
        <v>0</v>
      </c>
      <c r="P119">
        <f t="shared" si="37"/>
        <v>0</v>
      </c>
      <c r="Q119">
        <f t="shared" si="53"/>
        <v>0</v>
      </c>
      <c r="R119">
        <f t="shared" si="39"/>
        <v>0</v>
      </c>
      <c r="S119">
        <f t="shared" si="40"/>
        <v>0</v>
      </c>
      <c r="T119">
        <f t="shared" si="41"/>
        <v>0</v>
      </c>
      <c r="U119">
        <f t="shared" si="42"/>
        <v>0</v>
      </c>
      <c r="V119">
        <f t="shared" si="54"/>
        <v>0</v>
      </c>
      <c r="W119">
        <f t="shared" si="55"/>
        <v>0</v>
      </c>
      <c r="X119">
        <f t="shared" si="56"/>
        <v>0</v>
      </c>
    </row>
    <row r="120" spans="8:24" x14ac:dyDescent="0.3">
      <c r="H120">
        <f t="shared" si="46"/>
        <v>0</v>
      </c>
      <c r="I120">
        <f t="shared" si="47"/>
        <v>0</v>
      </c>
      <c r="J120">
        <f t="shared" si="48"/>
        <v>0</v>
      </c>
      <c r="K120">
        <f t="shared" si="49"/>
        <v>0</v>
      </c>
      <c r="L120">
        <f t="shared" si="50"/>
        <v>0</v>
      </c>
      <c r="M120" t="str">
        <f t="shared" si="51"/>
        <v>DOWN</v>
      </c>
      <c r="N120">
        <f t="shared" si="52"/>
        <v>0</v>
      </c>
      <c r="O120">
        <f t="shared" si="36"/>
        <v>0</v>
      </c>
      <c r="P120">
        <f t="shared" si="37"/>
        <v>0</v>
      </c>
      <c r="Q120">
        <f t="shared" si="53"/>
        <v>0</v>
      </c>
      <c r="R120">
        <f t="shared" si="39"/>
        <v>0</v>
      </c>
      <c r="S120">
        <f t="shared" si="40"/>
        <v>0</v>
      </c>
      <c r="T120">
        <f t="shared" si="41"/>
        <v>0</v>
      </c>
      <c r="U120">
        <f t="shared" si="42"/>
        <v>0</v>
      </c>
      <c r="V120">
        <f t="shared" si="54"/>
        <v>0</v>
      </c>
      <c r="W120">
        <f t="shared" si="55"/>
        <v>0</v>
      </c>
      <c r="X120">
        <f t="shared" si="56"/>
        <v>0</v>
      </c>
    </row>
    <row r="121" spans="8:24" x14ac:dyDescent="0.3">
      <c r="H121">
        <f t="shared" si="46"/>
        <v>0</v>
      </c>
      <c r="I121">
        <f t="shared" si="47"/>
        <v>0</v>
      </c>
      <c r="J121">
        <f t="shared" si="48"/>
        <v>0</v>
      </c>
      <c r="K121">
        <f t="shared" si="49"/>
        <v>0</v>
      </c>
      <c r="L121">
        <f t="shared" si="50"/>
        <v>0</v>
      </c>
      <c r="M121" t="str">
        <f t="shared" si="51"/>
        <v>DOWN</v>
      </c>
      <c r="N121">
        <f t="shared" si="52"/>
        <v>0</v>
      </c>
      <c r="O121">
        <f t="shared" si="36"/>
        <v>0</v>
      </c>
      <c r="P121">
        <f t="shared" si="37"/>
        <v>0</v>
      </c>
      <c r="Q121">
        <f t="shared" si="53"/>
        <v>0</v>
      </c>
      <c r="R121">
        <f t="shared" si="39"/>
        <v>0</v>
      </c>
      <c r="S121">
        <f t="shared" si="40"/>
        <v>0</v>
      </c>
      <c r="T121">
        <f t="shared" si="41"/>
        <v>0</v>
      </c>
      <c r="U121">
        <f t="shared" si="42"/>
        <v>0</v>
      </c>
      <c r="V121">
        <f t="shared" si="54"/>
        <v>0</v>
      </c>
      <c r="W121">
        <f t="shared" si="55"/>
        <v>0</v>
      </c>
      <c r="X121">
        <f t="shared" si="56"/>
        <v>0</v>
      </c>
    </row>
    <row r="122" spans="8:24" x14ac:dyDescent="0.3">
      <c r="H122">
        <f t="shared" si="46"/>
        <v>0</v>
      </c>
      <c r="I122">
        <f t="shared" si="47"/>
        <v>0</v>
      </c>
      <c r="J122">
        <f t="shared" si="48"/>
        <v>0</v>
      </c>
      <c r="K122">
        <f t="shared" si="49"/>
        <v>0</v>
      </c>
      <c r="L122">
        <f t="shared" si="50"/>
        <v>0</v>
      </c>
      <c r="M122" t="str">
        <f t="shared" si="51"/>
        <v>DOWN</v>
      </c>
      <c r="N122">
        <f t="shared" si="52"/>
        <v>0</v>
      </c>
      <c r="O122">
        <f t="shared" si="36"/>
        <v>0</v>
      </c>
      <c r="P122">
        <f t="shared" si="37"/>
        <v>0</v>
      </c>
      <c r="Q122">
        <f t="shared" si="53"/>
        <v>0</v>
      </c>
      <c r="R122">
        <f t="shared" si="39"/>
        <v>0</v>
      </c>
      <c r="S122">
        <f t="shared" si="40"/>
        <v>0</v>
      </c>
      <c r="T122">
        <f t="shared" si="41"/>
        <v>0</v>
      </c>
      <c r="U122">
        <f t="shared" si="42"/>
        <v>0</v>
      </c>
      <c r="V122">
        <f t="shared" si="54"/>
        <v>0</v>
      </c>
      <c r="W122">
        <f t="shared" si="55"/>
        <v>0</v>
      </c>
      <c r="X122">
        <f t="shared" si="56"/>
        <v>0</v>
      </c>
    </row>
    <row r="123" spans="8:24" x14ac:dyDescent="0.3">
      <c r="H123">
        <f t="shared" si="46"/>
        <v>0</v>
      </c>
      <c r="I123">
        <f t="shared" si="47"/>
        <v>0</v>
      </c>
      <c r="J123">
        <f t="shared" si="48"/>
        <v>0</v>
      </c>
      <c r="K123">
        <f t="shared" si="49"/>
        <v>0</v>
      </c>
      <c r="L123">
        <f t="shared" si="50"/>
        <v>0</v>
      </c>
      <c r="M123" t="str">
        <f t="shared" si="51"/>
        <v>DOWN</v>
      </c>
      <c r="N123">
        <f t="shared" si="52"/>
        <v>0</v>
      </c>
      <c r="O123">
        <f t="shared" si="36"/>
        <v>0</v>
      </c>
      <c r="P123">
        <f t="shared" si="37"/>
        <v>0</v>
      </c>
      <c r="Q123">
        <f t="shared" si="53"/>
        <v>0</v>
      </c>
      <c r="R123">
        <f t="shared" si="39"/>
        <v>0</v>
      </c>
      <c r="S123">
        <f t="shared" si="40"/>
        <v>0</v>
      </c>
      <c r="T123">
        <f t="shared" si="41"/>
        <v>0</v>
      </c>
      <c r="U123">
        <f t="shared" si="42"/>
        <v>0</v>
      </c>
      <c r="V123">
        <f t="shared" si="54"/>
        <v>0</v>
      </c>
      <c r="W123">
        <f t="shared" si="55"/>
        <v>0</v>
      </c>
      <c r="X123">
        <f t="shared" si="56"/>
        <v>0</v>
      </c>
    </row>
    <row r="124" spans="8:24" x14ac:dyDescent="0.3">
      <c r="H124">
        <f t="shared" si="46"/>
        <v>0</v>
      </c>
      <c r="I124">
        <f t="shared" si="47"/>
        <v>0</v>
      </c>
      <c r="J124">
        <f t="shared" si="48"/>
        <v>0</v>
      </c>
      <c r="K124">
        <f t="shared" si="49"/>
        <v>0</v>
      </c>
      <c r="L124">
        <f t="shared" si="50"/>
        <v>0</v>
      </c>
      <c r="M124" t="str">
        <f t="shared" si="51"/>
        <v>DOWN</v>
      </c>
      <c r="N124">
        <f t="shared" si="52"/>
        <v>0</v>
      </c>
      <c r="O124">
        <f t="shared" si="36"/>
        <v>0</v>
      </c>
      <c r="P124">
        <f t="shared" si="37"/>
        <v>0</v>
      </c>
      <c r="Q124">
        <f t="shared" si="53"/>
        <v>0</v>
      </c>
      <c r="R124">
        <f t="shared" si="39"/>
        <v>0</v>
      </c>
      <c r="S124">
        <f t="shared" si="40"/>
        <v>0</v>
      </c>
      <c r="T124">
        <f t="shared" si="41"/>
        <v>0</v>
      </c>
      <c r="U124">
        <f t="shared" si="42"/>
        <v>0</v>
      </c>
      <c r="V124">
        <f t="shared" si="54"/>
        <v>0</v>
      </c>
      <c r="W124">
        <f t="shared" si="55"/>
        <v>0</v>
      </c>
      <c r="X124">
        <f t="shared" si="56"/>
        <v>0</v>
      </c>
    </row>
    <row r="125" spans="8:24" x14ac:dyDescent="0.3">
      <c r="H125">
        <f t="shared" si="46"/>
        <v>0</v>
      </c>
      <c r="I125">
        <f t="shared" si="47"/>
        <v>0</v>
      </c>
      <c r="J125">
        <f t="shared" si="48"/>
        <v>0</v>
      </c>
      <c r="K125">
        <f t="shared" si="49"/>
        <v>0</v>
      </c>
      <c r="L125">
        <f t="shared" si="50"/>
        <v>0</v>
      </c>
      <c r="M125" t="str">
        <f t="shared" si="51"/>
        <v>DOWN</v>
      </c>
      <c r="N125">
        <f t="shared" si="52"/>
        <v>0</v>
      </c>
      <c r="O125">
        <f t="shared" si="36"/>
        <v>0</v>
      </c>
      <c r="P125">
        <f t="shared" si="37"/>
        <v>0</v>
      </c>
      <c r="Q125">
        <f t="shared" si="53"/>
        <v>0</v>
      </c>
      <c r="R125">
        <f t="shared" si="39"/>
        <v>0</v>
      </c>
      <c r="S125">
        <f t="shared" si="40"/>
        <v>0</v>
      </c>
      <c r="T125">
        <f t="shared" si="41"/>
        <v>0</v>
      </c>
      <c r="U125">
        <f t="shared" si="42"/>
        <v>0</v>
      </c>
      <c r="V125">
        <f t="shared" si="54"/>
        <v>0</v>
      </c>
      <c r="W125">
        <f t="shared" si="55"/>
        <v>0</v>
      </c>
      <c r="X125">
        <f t="shared" si="56"/>
        <v>0</v>
      </c>
    </row>
    <row r="126" spans="8:24" x14ac:dyDescent="0.3">
      <c r="H126">
        <f t="shared" si="46"/>
        <v>0</v>
      </c>
      <c r="I126">
        <f t="shared" si="47"/>
        <v>0</v>
      </c>
      <c r="J126">
        <f t="shared" si="48"/>
        <v>0</v>
      </c>
      <c r="K126">
        <f t="shared" si="49"/>
        <v>0</v>
      </c>
      <c r="L126">
        <f t="shared" si="50"/>
        <v>0</v>
      </c>
      <c r="M126" t="str">
        <f t="shared" si="51"/>
        <v>DOWN</v>
      </c>
      <c r="N126">
        <f t="shared" si="52"/>
        <v>0</v>
      </c>
      <c r="O126">
        <f t="shared" si="36"/>
        <v>0</v>
      </c>
      <c r="P126">
        <f t="shared" si="37"/>
        <v>0</v>
      </c>
      <c r="Q126">
        <f t="shared" si="53"/>
        <v>0</v>
      </c>
      <c r="R126">
        <f t="shared" si="39"/>
        <v>0</v>
      </c>
      <c r="S126">
        <f t="shared" si="40"/>
        <v>0</v>
      </c>
      <c r="T126">
        <f t="shared" si="41"/>
        <v>0</v>
      </c>
      <c r="U126">
        <f t="shared" si="42"/>
        <v>0</v>
      </c>
      <c r="V126">
        <f t="shared" si="54"/>
        <v>0</v>
      </c>
      <c r="W126">
        <f t="shared" si="55"/>
        <v>0</v>
      </c>
      <c r="X126">
        <f t="shared" si="56"/>
        <v>0</v>
      </c>
    </row>
    <row r="127" spans="8:24" x14ac:dyDescent="0.3">
      <c r="H127">
        <f t="shared" si="46"/>
        <v>0</v>
      </c>
      <c r="I127">
        <f t="shared" si="47"/>
        <v>0</v>
      </c>
      <c r="J127">
        <f t="shared" si="48"/>
        <v>0</v>
      </c>
      <c r="K127">
        <f t="shared" si="49"/>
        <v>0</v>
      </c>
      <c r="L127">
        <f t="shared" si="50"/>
        <v>0</v>
      </c>
      <c r="M127" t="str">
        <f t="shared" si="51"/>
        <v>DOWN</v>
      </c>
      <c r="N127">
        <f t="shared" si="52"/>
        <v>0</v>
      </c>
      <c r="O127">
        <f t="shared" si="36"/>
        <v>0</v>
      </c>
      <c r="P127">
        <f t="shared" si="37"/>
        <v>0</v>
      </c>
      <c r="Q127">
        <f t="shared" si="53"/>
        <v>0</v>
      </c>
      <c r="R127">
        <f t="shared" si="39"/>
        <v>0</v>
      </c>
      <c r="S127">
        <f t="shared" si="40"/>
        <v>0</v>
      </c>
      <c r="T127">
        <f t="shared" si="41"/>
        <v>0</v>
      </c>
      <c r="U127">
        <f t="shared" si="42"/>
        <v>0</v>
      </c>
      <c r="V127">
        <f t="shared" si="54"/>
        <v>0</v>
      </c>
      <c r="W127">
        <f t="shared" si="55"/>
        <v>0</v>
      </c>
      <c r="X127">
        <f t="shared" si="56"/>
        <v>0</v>
      </c>
    </row>
    <row r="128" spans="8:24" x14ac:dyDescent="0.3">
      <c r="H128">
        <f t="shared" si="46"/>
        <v>0</v>
      </c>
      <c r="I128">
        <f t="shared" si="47"/>
        <v>0</v>
      </c>
      <c r="J128">
        <f t="shared" si="48"/>
        <v>0</v>
      </c>
      <c r="K128">
        <f t="shared" si="49"/>
        <v>0</v>
      </c>
      <c r="L128">
        <f t="shared" si="50"/>
        <v>0</v>
      </c>
      <c r="M128" t="str">
        <f t="shared" si="51"/>
        <v>DOWN</v>
      </c>
      <c r="N128">
        <f t="shared" si="52"/>
        <v>0</v>
      </c>
      <c r="O128">
        <f t="shared" si="36"/>
        <v>0</v>
      </c>
      <c r="P128">
        <f t="shared" si="37"/>
        <v>0</v>
      </c>
      <c r="Q128">
        <f t="shared" si="53"/>
        <v>0</v>
      </c>
      <c r="R128">
        <f t="shared" si="39"/>
        <v>0</v>
      </c>
      <c r="S128">
        <f t="shared" si="40"/>
        <v>0</v>
      </c>
      <c r="T128">
        <f t="shared" si="41"/>
        <v>0</v>
      </c>
      <c r="U128">
        <f t="shared" si="42"/>
        <v>0</v>
      </c>
      <c r="V128">
        <f t="shared" si="54"/>
        <v>0</v>
      </c>
      <c r="W128">
        <f t="shared" si="55"/>
        <v>0</v>
      </c>
      <c r="X128">
        <f t="shared" si="56"/>
        <v>0</v>
      </c>
    </row>
    <row r="129" spans="8:24" x14ac:dyDescent="0.3">
      <c r="H129">
        <f t="shared" si="46"/>
        <v>0</v>
      </c>
      <c r="I129">
        <f t="shared" si="47"/>
        <v>0</v>
      </c>
      <c r="J129">
        <f t="shared" si="48"/>
        <v>0</v>
      </c>
      <c r="K129">
        <f t="shared" si="49"/>
        <v>0</v>
      </c>
      <c r="L129">
        <f t="shared" si="50"/>
        <v>0</v>
      </c>
      <c r="M129" t="str">
        <f t="shared" si="51"/>
        <v>DOWN</v>
      </c>
      <c r="N129">
        <f t="shared" si="52"/>
        <v>0</v>
      </c>
      <c r="O129">
        <f t="shared" si="36"/>
        <v>0</v>
      </c>
      <c r="P129">
        <f t="shared" si="37"/>
        <v>0</v>
      </c>
      <c r="Q129">
        <f t="shared" si="53"/>
        <v>0</v>
      </c>
      <c r="R129">
        <f t="shared" si="39"/>
        <v>0</v>
      </c>
      <c r="S129">
        <f t="shared" si="40"/>
        <v>0</v>
      </c>
      <c r="T129">
        <f t="shared" si="41"/>
        <v>0</v>
      </c>
      <c r="U129">
        <f t="shared" si="42"/>
        <v>0</v>
      </c>
      <c r="V129">
        <f t="shared" si="54"/>
        <v>0</v>
      </c>
      <c r="W129">
        <f t="shared" si="55"/>
        <v>0</v>
      </c>
      <c r="X129">
        <f t="shared" si="56"/>
        <v>0</v>
      </c>
    </row>
    <row r="130" spans="8:24" x14ac:dyDescent="0.3">
      <c r="H130">
        <f t="shared" ref="H130:H161" si="57">E131</f>
        <v>0</v>
      </c>
      <c r="I130">
        <f t="shared" ref="I130:I161" si="58">MAX(C130,H130)</f>
        <v>0</v>
      </c>
      <c r="J130">
        <f t="shared" ref="J130:J161" si="59">MIN(D130,H130)</f>
        <v>0</v>
      </c>
      <c r="K130">
        <f t="shared" ref="K130:K161" si="60">I130-J130</f>
        <v>0</v>
      </c>
      <c r="L130">
        <f t="shared" ref="L130:L161" si="61">B130-E131</f>
        <v>0</v>
      </c>
      <c r="M130" t="str">
        <f t="shared" ref="M130:M161" si="62">IF(E130&gt;E131,"UP","DOWN")</f>
        <v>DOWN</v>
      </c>
      <c r="N130">
        <f t="shared" ref="N130:N161" si="63">E130-E131</f>
        <v>0</v>
      </c>
      <c r="O130">
        <f t="shared" ref="O130:O193" si="64">SUM(N130:N134)</f>
        <v>0</v>
      </c>
      <c r="P130">
        <f t="shared" ref="P130:P193" si="65">SUM(N130:N139)</f>
        <v>0</v>
      </c>
      <c r="Q130">
        <f t="shared" ref="Q130:Q161" si="66">SUM(N130:N179)</f>
        <v>0</v>
      </c>
      <c r="R130">
        <f t="shared" ref="R130:R193" si="67">SUM(E130:E139)/10</f>
        <v>0</v>
      </c>
      <c r="S130">
        <f t="shared" ref="S130:S193" si="68">R130-R131</f>
        <v>0</v>
      </c>
      <c r="T130">
        <f t="shared" ref="T130:T193" si="69">SUM(E130:E179)/50</f>
        <v>0</v>
      </c>
      <c r="U130">
        <f t="shared" ref="U130:U193" si="70">T130-T131</f>
        <v>0</v>
      </c>
      <c r="V130">
        <f t="shared" ref="V130:V161" si="71">SUM(E130:E229)/100</f>
        <v>0</v>
      </c>
      <c r="W130">
        <f t="shared" ref="W130:W161" si="72">V130-V131</f>
        <v>0</v>
      </c>
      <c r="X130">
        <f t="shared" ref="X130:X161" si="73">SUM(E130:E329)/200</f>
        <v>0</v>
      </c>
    </row>
    <row r="131" spans="8:24" x14ac:dyDescent="0.3">
      <c r="H131">
        <f t="shared" si="57"/>
        <v>0</v>
      </c>
      <c r="I131">
        <f t="shared" si="58"/>
        <v>0</v>
      </c>
      <c r="J131">
        <f t="shared" si="59"/>
        <v>0</v>
      </c>
      <c r="K131">
        <f t="shared" si="60"/>
        <v>0</v>
      </c>
      <c r="L131">
        <f t="shared" si="61"/>
        <v>0</v>
      </c>
      <c r="M131" t="str">
        <f t="shared" si="62"/>
        <v>DOWN</v>
      </c>
      <c r="N131">
        <f t="shared" si="63"/>
        <v>0</v>
      </c>
      <c r="O131">
        <f t="shared" si="64"/>
        <v>0</v>
      </c>
      <c r="P131">
        <f t="shared" si="65"/>
        <v>0</v>
      </c>
      <c r="Q131">
        <f t="shared" si="66"/>
        <v>0</v>
      </c>
      <c r="R131">
        <f t="shared" si="67"/>
        <v>0</v>
      </c>
      <c r="S131">
        <f t="shared" si="68"/>
        <v>0</v>
      </c>
      <c r="T131">
        <f t="shared" si="69"/>
        <v>0</v>
      </c>
      <c r="U131">
        <f t="shared" si="70"/>
        <v>0</v>
      </c>
      <c r="V131">
        <f t="shared" si="71"/>
        <v>0</v>
      </c>
      <c r="W131">
        <f t="shared" si="72"/>
        <v>0</v>
      </c>
      <c r="X131">
        <f t="shared" si="73"/>
        <v>0</v>
      </c>
    </row>
    <row r="132" spans="8:24" x14ac:dyDescent="0.3">
      <c r="H132">
        <f t="shared" si="57"/>
        <v>0</v>
      </c>
      <c r="I132">
        <f t="shared" si="58"/>
        <v>0</v>
      </c>
      <c r="J132">
        <f t="shared" si="59"/>
        <v>0</v>
      </c>
      <c r="K132">
        <f t="shared" si="60"/>
        <v>0</v>
      </c>
      <c r="L132">
        <f t="shared" si="61"/>
        <v>0</v>
      </c>
      <c r="M132" t="str">
        <f t="shared" si="62"/>
        <v>DOWN</v>
      </c>
      <c r="N132">
        <f t="shared" si="63"/>
        <v>0</v>
      </c>
      <c r="O132">
        <f t="shared" si="64"/>
        <v>0</v>
      </c>
      <c r="P132">
        <f t="shared" si="65"/>
        <v>0</v>
      </c>
      <c r="Q132">
        <f t="shared" si="66"/>
        <v>0</v>
      </c>
      <c r="R132">
        <f t="shared" si="67"/>
        <v>0</v>
      </c>
      <c r="S132">
        <f t="shared" si="68"/>
        <v>0</v>
      </c>
      <c r="T132">
        <f t="shared" si="69"/>
        <v>0</v>
      </c>
      <c r="U132">
        <f t="shared" si="70"/>
        <v>0</v>
      </c>
      <c r="V132">
        <f t="shared" si="71"/>
        <v>0</v>
      </c>
      <c r="W132">
        <f t="shared" si="72"/>
        <v>0</v>
      </c>
      <c r="X132">
        <f t="shared" si="73"/>
        <v>0</v>
      </c>
    </row>
    <row r="133" spans="8:24" x14ac:dyDescent="0.3">
      <c r="H133">
        <f t="shared" si="57"/>
        <v>0</v>
      </c>
      <c r="I133">
        <f t="shared" si="58"/>
        <v>0</v>
      </c>
      <c r="J133">
        <f t="shared" si="59"/>
        <v>0</v>
      </c>
      <c r="K133">
        <f t="shared" si="60"/>
        <v>0</v>
      </c>
      <c r="L133">
        <f t="shared" si="61"/>
        <v>0</v>
      </c>
      <c r="M133" t="str">
        <f t="shared" si="62"/>
        <v>DOWN</v>
      </c>
      <c r="N133">
        <f t="shared" si="63"/>
        <v>0</v>
      </c>
      <c r="O133">
        <f t="shared" si="64"/>
        <v>0</v>
      </c>
      <c r="P133">
        <f t="shared" si="65"/>
        <v>0</v>
      </c>
      <c r="Q133">
        <f t="shared" si="66"/>
        <v>0</v>
      </c>
      <c r="R133">
        <f t="shared" si="67"/>
        <v>0</v>
      </c>
      <c r="S133">
        <f t="shared" si="68"/>
        <v>0</v>
      </c>
      <c r="T133">
        <f t="shared" si="69"/>
        <v>0</v>
      </c>
      <c r="U133">
        <f t="shared" si="70"/>
        <v>0</v>
      </c>
      <c r="V133">
        <f t="shared" si="71"/>
        <v>0</v>
      </c>
      <c r="W133">
        <f t="shared" si="72"/>
        <v>0</v>
      </c>
      <c r="X133">
        <f t="shared" si="73"/>
        <v>0</v>
      </c>
    </row>
    <row r="134" spans="8:24" x14ac:dyDescent="0.3">
      <c r="H134">
        <f t="shared" si="57"/>
        <v>0</v>
      </c>
      <c r="I134">
        <f t="shared" si="58"/>
        <v>0</v>
      </c>
      <c r="J134">
        <f t="shared" si="59"/>
        <v>0</v>
      </c>
      <c r="K134">
        <f t="shared" si="60"/>
        <v>0</v>
      </c>
      <c r="L134">
        <f t="shared" si="61"/>
        <v>0</v>
      </c>
      <c r="M134" t="str">
        <f t="shared" si="62"/>
        <v>DOWN</v>
      </c>
      <c r="N134">
        <f t="shared" si="63"/>
        <v>0</v>
      </c>
      <c r="O134">
        <f t="shared" si="64"/>
        <v>0</v>
      </c>
      <c r="P134">
        <f t="shared" si="65"/>
        <v>0</v>
      </c>
      <c r="Q134">
        <f t="shared" si="66"/>
        <v>0</v>
      </c>
      <c r="R134">
        <f t="shared" si="67"/>
        <v>0</v>
      </c>
      <c r="S134">
        <f t="shared" si="68"/>
        <v>0</v>
      </c>
      <c r="T134">
        <f t="shared" si="69"/>
        <v>0</v>
      </c>
      <c r="U134">
        <f t="shared" si="70"/>
        <v>0</v>
      </c>
      <c r="V134">
        <f t="shared" si="71"/>
        <v>0</v>
      </c>
      <c r="W134">
        <f t="shared" si="72"/>
        <v>0</v>
      </c>
      <c r="X134">
        <f t="shared" si="73"/>
        <v>0</v>
      </c>
    </row>
    <row r="135" spans="8:24" x14ac:dyDescent="0.3">
      <c r="H135">
        <f t="shared" si="57"/>
        <v>0</v>
      </c>
      <c r="I135">
        <f t="shared" si="58"/>
        <v>0</v>
      </c>
      <c r="J135">
        <f t="shared" si="59"/>
        <v>0</v>
      </c>
      <c r="K135">
        <f t="shared" si="60"/>
        <v>0</v>
      </c>
      <c r="L135">
        <f t="shared" si="61"/>
        <v>0</v>
      </c>
      <c r="M135" t="str">
        <f t="shared" si="62"/>
        <v>DOWN</v>
      </c>
      <c r="N135">
        <f t="shared" si="63"/>
        <v>0</v>
      </c>
      <c r="O135">
        <f t="shared" si="64"/>
        <v>0</v>
      </c>
      <c r="P135">
        <f t="shared" si="65"/>
        <v>0</v>
      </c>
      <c r="Q135">
        <f t="shared" si="66"/>
        <v>0</v>
      </c>
      <c r="R135">
        <f t="shared" si="67"/>
        <v>0</v>
      </c>
      <c r="S135">
        <f t="shared" si="68"/>
        <v>0</v>
      </c>
      <c r="T135">
        <f t="shared" si="69"/>
        <v>0</v>
      </c>
      <c r="U135">
        <f t="shared" si="70"/>
        <v>0</v>
      </c>
      <c r="V135">
        <f t="shared" si="71"/>
        <v>0</v>
      </c>
      <c r="W135">
        <f t="shared" si="72"/>
        <v>0</v>
      </c>
      <c r="X135">
        <f t="shared" si="73"/>
        <v>0</v>
      </c>
    </row>
    <row r="136" spans="8:24" x14ac:dyDescent="0.3">
      <c r="H136">
        <f t="shared" si="57"/>
        <v>0</v>
      </c>
      <c r="I136">
        <f t="shared" si="58"/>
        <v>0</v>
      </c>
      <c r="J136">
        <f t="shared" si="59"/>
        <v>0</v>
      </c>
      <c r="K136">
        <f t="shared" si="60"/>
        <v>0</v>
      </c>
      <c r="L136">
        <f t="shared" si="61"/>
        <v>0</v>
      </c>
      <c r="M136" t="str">
        <f t="shared" si="62"/>
        <v>DOWN</v>
      </c>
      <c r="N136">
        <f t="shared" si="63"/>
        <v>0</v>
      </c>
      <c r="O136">
        <f t="shared" si="64"/>
        <v>0</v>
      </c>
      <c r="P136">
        <f t="shared" si="65"/>
        <v>0</v>
      </c>
      <c r="Q136">
        <f t="shared" si="66"/>
        <v>0</v>
      </c>
      <c r="R136">
        <f t="shared" si="67"/>
        <v>0</v>
      </c>
      <c r="S136">
        <f t="shared" si="68"/>
        <v>0</v>
      </c>
      <c r="T136">
        <f t="shared" si="69"/>
        <v>0</v>
      </c>
      <c r="U136">
        <f t="shared" si="70"/>
        <v>0</v>
      </c>
      <c r="V136">
        <f t="shared" si="71"/>
        <v>0</v>
      </c>
      <c r="W136">
        <f t="shared" si="72"/>
        <v>0</v>
      </c>
      <c r="X136">
        <f t="shared" si="73"/>
        <v>0</v>
      </c>
    </row>
    <row r="137" spans="8:24" x14ac:dyDescent="0.3">
      <c r="H137">
        <f t="shared" si="57"/>
        <v>0</v>
      </c>
      <c r="I137">
        <f t="shared" si="58"/>
        <v>0</v>
      </c>
      <c r="J137">
        <f t="shared" si="59"/>
        <v>0</v>
      </c>
      <c r="K137">
        <f t="shared" si="60"/>
        <v>0</v>
      </c>
      <c r="L137">
        <f t="shared" si="61"/>
        <v>0</v>
      </c>
      <c r="M137" t="str">
        <f t="shared" si="62"/>
        <v>DOWN</v>
      </c>
      <c r="N137">
        <f t="shared" si="63"/>
        <v>0</v>
      </c>
      <c r="O137">
        <f t="shared" si="64"/>
        <v>0</v>
      </c>
      <c r="P137">
        <f t="shared" si="65"/>
        <v>0</v>
      </c>
      <c r="Q137">
        <f t="shared" si="66"/>
        <v>0</v>
      </c>
      <c r="R137">
        <f t="shared" si="67"/>
        <v>0</v>
      </c>
      <c r="S137">
        <f t="shared" si="68"/>
        <v>0</v>
      </c>
      <c r="T137">
        <f t="shared" si="69"/>
        <v>0</v>
      </c>
      <c r="U137">
        <f t="shared" si="70"/>
        <v>0</v>
      </c>
      <c r="V137">
        <f t="shared" si="71"/>
        <v>0</v>
      </c>
      <c r="W137">
        <f t="shared" si="72"/>
        <v>0</v>
      </c>
      <c r="X137">
        <f t="shared" si="73"/>
        <v>0</v>
      </c>
    </row>
    <row r="138" spans="8:24" x14ac:dyDescent="0.3">
      <c r="H138">
        <f t="shared" si="57"/>
        <v>0</v>
      </c>
      <c r="I138">
        <f t="shared" si="58"/>
        <v>0</v>
      </c>
      <c r="J138">
        <f t="shared" si="59"/>
        <v>0</v>
      </c>
      <c r="K138">
        <f t="shared" si="60"/>
        <v>0</v>
      </c>
      <c r="L138">
        <f t="shared" si="61"/>
        <v>0</v>
      </c>
      <c r="M138" t="str">
        <f t="shared" si="62"/>
        <v>DOWN</v>
      </c>
      <c r="N138">
        <f t="shared" si="63"/>
        <v>0</v>
      </c>
      <c r="O138">
        <f t="shared" si="64"/>
        <v>0</v>
      </c>
      <c r="P138">
        <f t="shared" si="65"/>
        <v>0</v>
      </c>
      <c r="Q138">
        <f t="shared" si="66"/>
        <v>0</v>
      </c>
      <c r="R138">
        <f t="shared" si="67"/>
        <v>0</v>
      </c>
      <c r="S138">
        <f t="shared" si="68"/>
        <v>0</v>
      </c>
      <c r="T138">
        <f t="shared" si="69"/>
        <v>0</v>
      </c>
      <c r="U138">
        <f t="shared" si="70"/>
        <v>0</v>
      </c>
      <c r="V138">
        <f t="shared" si="71"/>
        <v>0</v>
      </c>
      <c r="W138">
        <f t="shared" si="72"/>
        <v>0</v>
      </c>
      <c r="X138">
        <f t="shared" si="73"/>
        <v>0</v>
      </c>
    </row>
    <row r="139" spans="8:24" x14ac:dyDescent="0.3">
      <c r="H139">
        <f t="shared" si="57"/>
        <v>0</v>
      </c>
      <c r="I139">
        <f t="shared" si="58"/>
        <v>0</v>
      </c>
      <c r="J139">
        <f t="shared" si="59"/>
        <v>0</v>
      </c>
      <c r="K139">
        <f t="shared" si="60"/>
        <v>0</v>
      </c>
      <c r="L139">
        <f t="shared" si="61"/>
        <v>0</v>
      </c>
      <c r="M139" t="str">
        <f t="shared" si="62"/>
        <v>DOWN</v>
      </c>
      <c r="N139">
        <f t="shared" si="63"/>
        <v>0</v>
      </c>
      <c r="O139">
        <f t="shared" si="64"/>
        <v>0</v>
      </c>
      <c r="P139">
        <f t="shared" si="65"/>
        <v>0</v>
      </c>
      <c r="Q139">
        <f t="shared" si="66"/>
        <v>0</v>
      </c>
      <c r="R139">
        <f t="shared" si="67"/>
        <v>0</v>
      </c>
      <c r="S139">
        <f t="shared" si="68"/>
        <v>0</v>
      </c>
      <c r="T139">
        <f t="shared" si="69"/>
        <v>0</v>
      </c>
      <c r="U139">
        <f t="shared" si="70"/>
        <v>0</v>
      </c>
      <c r="V139">
        <f t="shared" si="71"/>
        <v>0</v>
      </c>
      <c r="W139">
        <f t="shared" si="72"/>
        <v>0</v>
      </c>
      <c r="X139">
        <f t="shared" si="73"/>
        <v>0</v>
      </c>
    </row>
    <row r="140" spans="8:24" x14ac:dyDescent="0.3">
      <c r="H140">
        <f t="shared" si="57"/>
        <v>0</v>
      </c>
      <c r="I140">
        <f t="shared" si="58"/>
        <v>0</v>
      </c>
      <c r="J140">
        <f t="shared" si="59"/>
        <v>0</v>
      </c>
      <c r="K140">
        <f t="shared" si="60"/>
        <v>0</v>
      </c>
      <c r="L140">
        <f t="shared" si="61"/>
        <v>0</v>
      </c>
      <c r="M140" t="str">
        <f t="shared" si="62"/>
        <v>DOWN</v>
      </c>
      <c r="N140">
        <f t="shared" si="63"/>
        <v>0</v>
      </c>
      <c r="O140">
        <f t="shared" si="64"/>
        <v>0</v>
      </c>
      <c r="P140">
        <f t="shared" si="65"/>
        <v>0</v>
      </c>
      <c r="Q140">
        <f t="shared" si="66"/>
        <v>0</v>
      </c>
      <c r="R140">
        <f t="shared" si="67"/>
        <v>0</v>
      </c>
      <c r="S140">
        <f t="shared" si="68"/>
        <v>0</v>
      </c>
      <c r="T140">
        <f t="shared" si="69"/>
        <v>0</v>
      </c>
      <c r="U140">
        <f t="shared" si="70"/>
        <v>0</v>
      </c>
      <c r="V140">
        <f t="shared" si="71"/>
        <v>0</v>
      </c>
      <c r="W140">
        <f t="shared" si="72"/>
        <v>0</v>
      </c>
      <c r="X140">
        <f t="shared" si="73"/>
        <v>0</v>
      </c>
    </row>
    <row r="141" spans="8:24" x14ac:dyDescent="0.3">
      <c r="H141">
        <f t="shared" si="57"/>
        <v>0</v>
      </c>
      <c r="I141">
        <f t="shared" si="58"/>
        <v>0</v>
      </c>
      <c r="J141">
        <f t="shared" si="59"/>
        <v>0</v>
      </c>
      <c r="K141">
        <f t="shared" si="60"/>
        <v>0</v>
      </c>
      <c r="L141">
        <f t="shared" si="61"/>
        <v>0</v>
      </c>
      <c r="M141" t="str">
        <f t="shared" si="62"/>
        <v>DOWN</v>
      </c>
      <c r="N141">
        <f t="shared" si="63"/>
        <v>0</v>
      </c>
      <c r="O141">
        <f t="shared" si="64"/>
        <v>0</v>
      </c>
      <c r="P141">
        <f t="shared" si="65"/>
        <v>0</v>
      </c>
      <c r="Q141">
        <f t="shared" si="66"/>
        <v>0</v>
      </c>
      <c r="R141">
        <f t="shared" si="67"/>
        <v>0</v>
      </c>
      <c r="S141">
        <f t="shared" si="68"/>
        <v>0</v>
      </c>
      <c r="T141">
        <f t="shared" si="69"/>
        <v>0</v>
      </c>
      <c r="U141">
        <f t="shared" si="70"/>
        <v>0</v>
      </c>
      <c r="V141">
        <f t="shared" si="71"/>
        <v>0</v>
      </c>
      <c r="W141">
        <f t="shared" si="72"/>
        <v>0</v>
      </c>
      <c r="X141">
        <f t="shared" si="73"/>
        <v>0</v>
      </c>
    </row>
    <row r="142" spans="8:24" x14ac:dyDescent="0.3">
      <c r="H142">
        <f t="shared" si="57"/>
        <v>0</v>
      </c>
      <c r="I142">
        <f t="shared" si="58"/>
        <v>0</v>
      </c>
      <c r="J142">
        <f t="shared" si="59"/>
        <v>0</v>
      </c>
      <c r="K142">
        <f t="shared" si="60"/>
        <v>0</v>
      </c>
      <c r="L142">
        <f t="shared" si="61"/>
        <v>0</v>
      </c>
      <c r="M142" t="str">
        <f t="shared" si="62"/>
        <v>DOWN</v>
      </c>
      <c r="N142">
        <f t="shared" si="63"/>
        <v>0</v>
      </c>
      <c r="O142">
        <f t="shared" si="64"/>
        <v>0</v>
      </c>
      <c r="P142">
        <f t="shared" si="65"/>
        <v>0</v>
      </c>
      <c r="Q142">
        <f t="shared" si="66"/>
        <v>0</v>
      </c>
      <c r="R142">
        <f t="shared" si="67"/>
        <v>0</v>
      </c>
      <c r="S142">
        <f t="shared" si="68"/>
        <v>0</v>
      </c>
      <c r="T142">
        <f t="shared" si="69"/>
        <v>0</v>
      </c>
      <c r="U142">
        <f t="shared" si="70"/>
        <v>0</v>
      </c>
      <c r="V142">
        <f t="shared" si="71"/>
        <v>0</v>
      </c>
      <c r="W142">
        <f t="shared" si="72"/>
        <v>0</v>
      </c>
      <c r="X142">
        <f t="shared" si="73"/>
        <v>0</v>
      </c>
    </row>
    <row r="143" spans="8:24" x14ac:dyDescent="0.3">
      <c r="H143">
        <f t="shared" si="57"/>
        <v>0</v>
      </c>
      <c r="I143">
        <f t="shared" si="58"/>
        <v>0</v>
      </c>
      <c r="J143">
        <f t="shared" si="59"/>
        <v>0</v>
      </c>
      <c r="K143">
        <f t="shared" si="60"/>
        <v>0</v>
      </c>
      <c r="L143">
        <f t="shared" si="61"/>
        <v>0</v>
      </c>
      <c r="M143" t="str">
        <f t="shared" si="62"/>
        <v>DOWN</v>
      </c>
      <c r="N143">
        <f t="shared" si="63"/>
        <v>0</v>
      </c>
      <c r="O143">
        <f t="shared" si="64"/>
        <v>0</v>
      </c>
      <c r="P143">
        <f t="shared" si="65"/>
        <v>0</v>
      </c>
      <c r="Q143">
        <f t="shared" si="66"/>
        <v>0</v>
      </c>
      <c r="R143">
        <f t="shared" si="67"/>
        <v>0</v>
      </c>
      <c r="S143">
        <f t="shared" si="68"/>
        <v>0</v>
      </c>
      <c r="T143">
        <f t="shared" si="69"/>
        <v>0</v>
      </c>
      <c r="U143">
        <f t="shared" si="70"/>
        <v>0</v>
      </c>
      <c r="V143">
        <f t="shared" si="71"/>
        <v>0</v>
      </c>
      <c r="W143">
        <f t="shared" si="72"/>
        <v>0</v>
      </c>
      <c r="X143">
        <f t="shared" si="73"/>
        <v>0</v>
      </c>
    </row>
    <row r="144" spans="8:24" x14ac:dyDescent="0.3">
      <c r="H144">
        <f t="shared" si="57"/>
        <v>0</v>
      </c>
      <c r="I144">
        <f t="shared" si="58"/>
        <v>0</v>
      </c>
      <c r="J144">
        <f t="shared" si="59"/>
        <v>0</v>
      </c>
      <c r="K144">
        <f t="shared" si="60"/>
        <v>0</v>
      </c>
      <c r="L144">
        <f t="shared" si="61"/>
        <v>0</v>
      </c>
      <c r="M144" t="str">
        <f t="shared" si="62"/>
        <v>DOWN</v>
      </c>
      <c r="N144">
        <f t="shared" si="63"/>
        <v>0</v>
      </c>
      <c r="O144">
        <f t="shared" si="64"/>
        <v>0</v>
      </c>
      <c r="P144">
        <f t="shared" si="65"/>
        <v>0</v>
      </c>
      <c r="Q144">
        <f t="shared" si="66"/>
        <v>0</v>
      </c>
      <c r="R144">
        <f t="shared" si="67"/>
        <v>0</v>
      </c>
      <c r="S144">
        <f t="shared" si="68"/>
        <v>0</v>
      </c>
      <c r="T144">
        <f t="shared" si="69"/>
        <v>0</v>
      </c>
      <c r="U144">
        <f t="shared" si="70"/>
        <v>0</v>
      </c>
      <c r="V144">
        <f t="shared" si="71"/>
        <v>0</v>
      </c>
      <c r="W144">
        <f t="shared" si="72"/>
        <v>0</v>
      </c>
      <c r="X144">
        <f t="shared" si="73"/>
        <v>0</v>
      </c>
    </row>
    <row r="145" spans="8:24" x14ac:dyDescent="0.3">
      <c r="H145">
        <f t="shared" si="57"/>
        <v>0</v>
      </c>
      <c r="I145">
        <f t="shared" si="58"/>
        <v>0</v>
      </c>
      <c r="J145">
        <f t="shared" si="59"/>
        <v>0</v>
      </c>
      <c r="K145">
        <f t="shared" si="60"/>
        <v>0</v>
      </c>
      <c r="L145">
        <f t="shared" si="61"/>
        <v>0</v>
      </c>
      <c r="M145" t="str">
        <f t="shared" si="62"/>
        <v>DOWN</v>
      </c>
      <c r="N145">
        <f t="shared" si="63"/>
        <v>0</v>
      </c>
      <c r="O145">
        <f t="shared" si="64"/>
        <v>0</v>
      </c>
      <c r="P145">
        <f t="shared" si="65"/>
        <v>0</v>
      </c>
      <c r="Q145">
        <f t="shared" si="66"/>
        <v>0</v>
      </c>
      <c r="R145">
        <f t="shared" si="67"/>
        <v>0</v>
      </c>
      <c r="S145">
        <f t="shared" si="68"/>
        <v>0</v>
      </c>
      <c r="T145">
        <f t="shared" si="69"/>
        <v>0</v>
      </c>
      <c r="U145">
        <f t="shared" si="70"/>
        <v>0</v>
      </c>
      <c r="V145">
        <f t="shared" si="71"/>
        <v>0</v>
      </c>
      <c r="W145">
        <f t="shared" si="72"/>
        <v>0</v>
      </c>
      <c r="X145">
        <f t="shared" si="73"/>
        <v>0</v>
      </c>
    </row>
    <row r="146" spans="8:24" x14ac:dyDescent="0.3">
      <c r="H146">
        <f t="shared" si="57"/>
        <v>0</v>
      </c>
      <c r="I146">
        <f t="shared" si="58"/>
        <v>0</v>
      </c>
      <c r="J146">
        <f t="shared" si="59"/>
        <v>0</v>
      </c>
      <c r="K146">
        <f t="shared" si="60"/>
        <v>0</v>
      </c>
      <c r="L146">
        <f t="shared" si="61"/>
        <v>0</v>
      </c>
      <c r="M146" t="str">
        <f t="shared" si="62"/>
        <v>DOWN</v>
      </c>
      <c r="N146">
        <f t="shared" si="63"/>
        <v>0</v>
      </c>
      <c r="O146">
        <f t="shared" si="64"/>
        <v>0</v>
      </c>
      <c r="P146">
        <f t="shared" si="65"/>
        <v>0</v>
      </c>
      <c r="Q146">
        <f t="shared" si="66"/>
        <v>0</v>
      </c>
      <c r="R146">
        <f t="shared" si="67"/>
        <v>0</v>
      </c>
      <c r="S146">
        <f t="shared" si="68"/>
        <v>0</v>
      </c>
      <c r="T146">
        <f t="shared" si="69"/>
        <v>0</v>
      </c>
      <c r="U146">
        <f t="shared" si="70"/>
        <v>0</v>
      </c>
      <c r="V146">
        <f t="shared" si="71"/>
        <v>0</v>
      </c>
      <c r="W146">
        <f t="shared" si="72"/>
        <v>0</v>
      </c>
      <c r="X146">
        <f t="shared" si="73"/>
        <v>0</v>
      </c>
    </row>
    <row r="147" spans="8:24" x14ac:dyDescent="0.3">
      <c r="H147">
        <f t="shared" si="57"/>
        <v>0</v>
      </c>
      <c r="I147">
        <f t="shared" si="58"/>
        <v>0</v>
      </c>
      <c r="J147">
        <f t="shared" si="59"/>
        <v>0</v>
      </c>
      <c r="K147">
        <f t="shared" si="60"/>
        <v>0</v>
      </c>
      <c r="L147">
        <f t="shared" si="61"/>
        <v>0</v>
      </c>
      <c r="M147" t="str">
        <f t="shared" si="62"/>
        <v>DOWN</v>
      </c>
      <c r="N147">
        <f t="shared" si="63"/>
        <v>0</v>
      </c>
      <c r="O147">
        <f t="shared" si="64"/>
        <v>0</v>
      </c>
      <c r="P147">
        <f t="shared" si="65"/>
        <v>0</v>
      </c>
      <c r="Q147">
        <f t="shared" si="66"/>
        <v>0</v>
      </c>
      <c r="R147">
        <f t="shared" si="67"/>
        <v>0</v>
      </c>
      <c r="S147">
        <f t="shared" si="68"/>
        <v>0</v>
      </c>
      <c r="T147">
        <f t="shared" si="69"/>
        <v>0</v>
      </c>
      <c r="U147">
        <f t="shared" si="70"/>
        <v>0</v>
      </c>
      <c r="V147">
        <f t="shared" si="71"/>
        <v>0</v>
      </c>
      <c r="W147">
        <f t="shared" si="72"/>
        <v>0</v>
      </c>
      <c r="X147">
        <f t="shared" si="73"/>
        <v>0</v>
      </c>
    </row>
    <row r="148" spans="8:24" x14ac:dyDescent="0.3">
      <c r="H148">
        <f t="shared" si="57"/>
        <v>0</v>
      </c>
      <c r="I148">
        <f t="shared" si="58"/>
        <v>0</v>
      </c>
      <c r="J148">
        <f t="shared" si="59"/>
        <v>0</v>
      </c>
      <c r="K148">
        <f t="shared" si="60"/>
        <v>0</v>
      </c>
      <c r="L148">
        <f t="shared" si="61"/>
        <v>0</v>
      </c>
      <c r="M148" t="str">
        <f t="shared" si="62"/>
        <v>DOWN</v>
      </c>
      <c r="N148">
        <f t="shared" si="63"/>
        <v>0</v>
      </c>
      <c r="O148">
        <f t="shared" si="64"/>
        <v>0</v>
      </c>
      <c r="P148">
        <f t="shared" si="65"/>
        <v>0</v>
      </c>
      <c r="Q148">
        <f t="shared" si="66"/>
        <v>0</v>
      </c>
      <c r="R148">
        <f t="shared" si="67"/>
        <v>0</v>
      </c>
      <c r="S148">
        <f t="shared" si="68"/>
        <v>0</v>
      </c>
      <c r="T148">
        <f t="shared" si="69"/>
        <v>0</v>
      </c>
      <c r="U148">
        <f t="shared" si="70"/>
        <v>0</v>
      </c>
      <c r="V148">
        <f t="shared" si="71"/>
        <v>0</v>
      </c>
      <c r="W148">
        <f t="shared" si="72"/>
        <v>0</v>
      </c>
      <c r="X148">
        <f t="shared" si="73"/>
        <v>0</v>
      </c>
    </row>
    <row r="149" spans="8:24" x14ac:dyDescent="0.3">
      <c r="H149">
        <f t="shared" si="57"/>
        <v>0</v>
      </c>
      <c r="I149">
        <f t="shared" si="58"/>
        <v>0</v>
      </c>
      <c r="J149">
        <f t="shared" si="59"/>
        <v>0</v>
      </c>
      <c r="K149">
        <f t="shared" si="60"/>
        <v>0</v>
      </c>
      <c r="L149">
        <f t="shared" si="61"/>
        <v>0</v>
      </c>
      <c r="M149" t="str">
        <f t="shared" si="62"/>
        <v>DOWN</v>
      </c>
      <c r="N149">
        <f t="shared" si="63"/>
        <v>0</v>
      </c>
      <c r="O149">
        <f t="shared" si="64"/>
        <v>0</v>
      </c>
      <c r="P149">
        <f t="shared" si="65"/>
        <v>0</v>
      </c>
      <c r="Q149">
        <f t="shared" si="66"/>
        <v>0</v>
      </c>
      <c r="R149">
        <f t="shared" si="67"/>
        <v>0</v>
      </c>
      <c r="S149">
        <f t="shared" si="68"/>
        <v>0</v>
      </c>
      <c r="T149">
        <f t="shared" si="69"/>
        <v>0</v>
      </c>
      <c r="U149">
        <f t="shared" si="70"/>
        <v>0</v>
      </c>
      <c r="V149">
        <f t="shared" si="71"/>
        <v>0</v>
      </c>
      <c r="W149">
        <f t="shared" si="72"/>
        <v>0</v>
      </c>
      <c r="X149">
        <f t="shared" si="73"/>
        <v>0</v>
      </c>
    </row>
    <row r="150" spans="8:24" x14ac:dyDescent="0.3">
      <c r="H150">
        <f t="shared" si="57"/>
        <v>0</v>
      </c>
      <c r="I150">
        <f t="shared" si="58"/>
        <v>0</v>
      </c>
      <c r="J150">
        <f t="shared" si="59"/>
        <v>0</v>
      </c>
      <c r="K150">
        <f t="shared" si="60"/>
        <v>0</v>
      </c>
      <c r="L150">
        <f t="shared" si="61"/>
        <v>0</v>
      </c>
      <c r="M150" t="str">
        <f t="shared" si="62"/>
        <v>DOWN</v>
      </c>
      <c r="N150">
        <f t="shared" si="63"/>
        <v>0</v>
      </c>
      <c r="O150">
        <f t="shared" si="64"/>
        <v>0</v>
      </c>
      <c r="P150">
        <f t="shared" si="65"/>
        <v>0</v>
      </c>
      <c r="Q150">
        <f t="shared" si="66"/>
        <v>0</v>
      </c>
      <c r="R150">
        <f t="shared" si="67"/>
        <v>0</v>
      </c>
      <c r="S150">
        <f t="shared" si="68"/>
        <v>0</v>
      </c>
      <c r="T150">
        <f t="shared" si="69"/>
        <v>0</v>
      </c>
      <c r="U150">
        <f t="shared" si="70"/>
        <v>0</v>
      </c>
      <c r="V150">
        <f t="shared" si="71"/>
        <v>0</v>
      </c>
      <c r="W150">
        <f t="shared" si="72"/>
        <v>0</v>
      </c>
      <c r="X150">
        <f t="shared" si="73"/>
        <v>0</v>
      </c>
    </row>
    <row r="151" spans="8:24" x14ac:dyDescent="0.3">
      <c r="H151">
        <f t="shared" si="57"/>
        <v>0</v>
      </c>
      <c r="I151">
        <f t="shared" si="58"/>
        <v>0</v>
      </c>
      <c r="J151">
        <f t="shared" si="59"/>
        <v>0</v>
      </c>
      <c r="K151">
        <f t="shared" si="60"/>
        <v>0</v>
      </c>
      <c r="L151">
        <f t="shared" si="61"/>
        <v>0</v>
      </c>
      <c r="M151" t="str">
        <f t="shared" si="62"/>
        <v>DOWN</v>
      </c>
      <c r="N151">
        <f t="shared" si="63"/>
        <v>0</v>
      </c>
      <c r="O151">
        <f t="shared" si="64"/>
        <v>0</v>
      </c>
      <c r="P151">
        <f t="shared" si="65"/>
        <v>0</v>
      </c>
      <c r="Q151">
        <f t="shared" si="66"/>
        <v>0</v>
      </c>
      <c r="R151">
        <f t="shared" si="67"/>
        <v>0</v>
      </c>
      <c r="S151">
        <f t="shared" si="68"/>
        <v>0</v>
      </c>
      <c r="T151">
        <f t="shared" si="69"/>
        <v>0</v>
      </c>
      <c r="U151">
        <f t="shared" si="70"/>
        <v>0</v>
      </c>
      <c r="V151">
        <f t="shared" si="71"/>
        <v>0</v>
      </c>
      <c r="W151">
        <f t="shared" si="72"/>
        <v>0</v>
      </c>
      <c r="X151">
        <f t="shared" si="73"/>
        <v>0</v>
      </c>
    </row>
    <row r="152" spans="8:24" x14ac:dyDescent="0.3">
      <c r="H152">
        <f t="shared" si="57"/>
        <v>0</v>
      </c>
      <c r="I152">
        <f t="shared" si="58"/>
        <v>0</v>
      </c>
      <c r="J152">
        <f t="shared" si="59"/>
        <v>0</v>
      </c>
      <c r="K152">
        <f t="shared" si="60"/>
        <v>0</v>
      </c>
      <c r="L152">
        <f t="shared" si="61"/>
        <v>0</v>
      </c>
      <c r="M152" t="str">
        <f t="shared" si="62"/>
        <v>DOWN</v>
      </c>
      <c r="N152">
        <f t="shared" si="63"/>
        <v>0</v>
      </c>
      <c r="O152">
        <f t="shared" si="64"/>
        <v>0</v>
      </c>
      <c r="P152">
        <f t="shared" si="65"/>
        <v>0</v>
      </c>
      <c r="Q152">
        <f t="shared" si="66"/>
        <v>0</v>
      </c>
      <c r="R152">
        <f t="shared" si="67"/>
        <v>0</v>
      </c>
      <c r="S152">
        <f t="shared" si="68"/>
        <v>0</v>
      </c>
      <c r="T152">
        <f t="shared" si="69"/>
        <v>0</v>
      </c>
      <c r="U152">
        <f t="shared" si="70"/>
        <v>0</v>
      </c>
      <c r="V152">
        <f t="shared" si="71"/>
        <v>0</v>
      </c>
      <c r="W152">
        <f t="shared" si="72"/>
        <v>0</v>
      </c>
      <c r="X152">
        <f t="shared" si="73"/>
        <v>0</v>
      </c>
    </row>
    <row r="153" spans="8:24" x14ac:dyDescent="0.3">
      <c r="H153">
        <f t="shared" si="57"/>
        <v>0</v>
      </c>
      <c r="I153">
        <f t="shared" si="58"/>
        <v>0</v>
      </c>
      <c r="J153">
        <f t="shared" si="59"/>
        <v>0</v>
      </c>
      <c r="K153">
        <f t="shared" si="60"/>
        <v>0</v>
      </c>
      <c r="L153">
        <f t="shared" si="61"/>
        <v>0</v>
      </c>
      <c r="M153" t="str">
        <f t="shared" si="62"/>
        <v>DOWN</v>
      </c>
      <c r="N153">
        <f t="shared" si="63"/>
        <v>0</v>
      </c>
      <c r="O153">
        <f t="shared" si="64"/>
        <v>0</v>
      </c>
      <c r="P153">
        <f t="shared" si="65"/>
        <v>0</v>
      </c>
      <c r="Q153">
        <f t="shared" si="66"/>
        <v>0</v>
      </c>
      <c r="R153">
        <f t="shared" si="67"/>
        <v>0</v>
      </c>
      <c r="S153">
        <f t="shared" si="68"/>
        <v>0</v>
      </c>
      <c r="T153">
        <f t="shared" si="69"/>
        <v>0</v>
      </c>
      <c r="U153">
        <f t="shared" si="70"/>
        <v>0</v>
      </c>
      <c r="V153">
        <f t="shared" si="71"/>
        <v>0</v>
      </c>
      <c r="W153">
        <f t="shared" si="72"/>
        <v>0</v>
      </c>
      <c r="X153">
        <f t="shared" si="73"/>
        <v>0</v>
      </c>
    </row>
    <row r="154" spans="8:24" x14ac:dyDescent="0.3">
      <c r="H154">
        <f t="shared" si="57"/>
        <v>0</v>
      </c>
      <c r="I154">
        <f t="shared" si="58"/>
        <v>0</v>
      </c>
      <c r="J154">
        <f t="shared" si="59"/>
        <v>0</v>
      </c>
      <c r="K154">
        <f t="shared" si="60"/>
        <v>0</v>
      </c>
      <c r="L154">
        <f t="shared" si="61"/>
        <v>0</v>
      </c>
      <c r="M154" t="str">
        <f t="shared" si="62"/>
        <v>DOWN</v>
      </c>
      <c r="N154">
        <f t="shared" si="63"/>
        <v>0</v>
      </c>
      <c r="O154">
        <f t="shared" si="64"/>
        <v>0</v>
      </c>
      <c r="P154">
        <f t="shared" si="65"/>
        <v>0</v>
      </c>
      <c r="Q154">
        <f t="shared" si="66"/>
        <v>0</v>
      </c>
      <c r="R154">
        <f t="shared" si="67"/>
        <v>0</v>
      </c>
      <c r="S154">
        <f t="shared" si="68"/>
        <v>0</v>
      </c>
      <c r="T154">
        <f t="shared" si="69"/>
        <v>0</v>
      </c>
      <c r="U154">
        <f t="shared" si="70"/>
        <v>0</v>
      </c>
      <c r="V154">
        <f t="shared" si="71"/>
        <v>0</v>
      </c>
      <c r="W154">
        <f t="shared" si="72"/>
        <v>0</v>
      </c>
      <c r="X154">
        <f t="shared" si="73"/>
        <v>0</v>
      </c>
    </row>
    <row r="155" spans="8:24" x14ac:dyDescent="0.3">
      <c r="H155">
        <f t="shared" si="57"/>
        <v>0</v>
      </c>
      <c r="I155">
        <f t="shared" si="58"/>
        <v>0</v>
      </c>
      <c r="J155">
        <f t="shared" si="59"/>
        <v>0</v>
      </c>
      <c r="K155">
        <f t="shared" si="60"/>
        <v>0</v>
      </c>
      <c r="L155">
        <f t="shared" si="61"/>
        <v>0</v>
      </c>
      <c r="M155" t="str">
        <f t="shared" si="62"/>
        <v>DOWN</v>
      </c>
      <c r="N155">
        <f t="shared" si="63"/>
        <v>0</v>
      </c>
      <c r="O155">
        <f t="shared" si="64"/>
        <v>0</v>
      </c>
      <c r="P155">
        <f t="shared" si="65"/>
        <v>0</v>
      </c>
      <c r="Q155">
        <f t="shared" si="66"/>
        <v>0</v>
      </c>
      <c r="R155">
        <f t="shared" si="67"/>
        <v>0</v>
      </c>
      <c r="S155">
        <f t="shared" si="68"/>
        <v>0</v>
      </c>
      <c r="T155">
        <f t="shared" si="69"/>
        <v>0</v>
      </c>
      <c r="U155">
        <f t="shared" si="70"/>
        <v>0</v>
      </c>
      <c r="V155">
        <f t="shared" si="71"/>
        <v>0</v>
      </c>
      <c r="W155">
        <f t="shared" si="72"/>
        <v>0</v>
      </c>
      <c r="X155">
        <f t="shared" si="73"/>
        <v>0</v>
      </c>
    </row>
    <row r="156" spans="8:24" x14ac:dyDescent="0.3">
      <c r="H156">
        <f t="shared" si="57"/>
        <v>0</v>
      </c>
      <c r="I156">
        <f t="shared" si="58"/>
        <v>0</v>
      </c>
      <c r="J156">
        <f t="shared" si="59"/>
        <v>0</v>
      </c>
      <c r="K156">
        <f t="shared" si="60"/>
        <v>0</v>
      </c>
      <c r="L156">
        <f t="shared" si="61"/>
        <v>0</v>
      </c>
      <c r="M156" t="str">
        <f t="shared" si="62"/>
        <v>DOWN</v>
      </c>
      <c r="N156">
        <f t="shared" si="63"/>
        <v>0</v>
      </c>
      <c r="O156">
        <f t="shared" si="64"/>
        <v>0</v>
      </c>
      <c r="P156">
        <f t="shared" si="65"/>
        <v>0</v>
      </c>
      <c r="Q156">
        <f t="shared" si="66"/>
        <v>0</v>
      </c>
      <c r="R156">
        <f t="shared" si="67"/>
        <v>0</v>
      </c>
      <c r="S156">
        <f t="shared" si="68"/>
        <v>0</v>
      </c>
      <c r="T156">
        <f t="shared" si="69"/>
        <v>0</v>
      </c>
      <c r="U156">
        <f t="shared" si="70"/>
        <v>0</v>
      </c>
      <c r="V156">
        <f t="shared" si="71"/>
        <v>0</v>
      </c>
      <c r="W156">
        <f t="shared" si="72"/>
        <v>0</v>
      </c>
      <c r="X156">
        <f t="shared" si="73"/>
        <v>0</v>
      </c>
    </row>
    <row r="157" spans="8:24" x14ac:dyDescent="0.3">
      <c r="H157">
        <f t="shared" si="57"/>
        <v>0</v>
      </c>
      <c r="I157">
        <f t="shared" si="58"/>
        <v>0</v>
      </c>
      <c r="J157">
        <f t="shared" si="59"/>
        <v>0</v>
      </c>
      <c r="K157">
        <f t="shared" si="60"/>
        <v>0</v>
      </c>
      <c r="L157">
        <f t="shared" si="61"/>
        <v>0</v>
      </c>
      <c r="M157" t="str">
        <f t="shared" si="62"/>
        <v>DOWN</v>
      </c>
      <c r="N157">
        <f t="shared" si="63"/>
        <v>0</v>
      </c>
      <c r="O157">
        <f t="shared" si="64"/>
        <v>0</v>
      </c>
      <c r="P157">
        <f t="shared" si="65"/>
        <v>0</v>
      </c>
      <c r="Q157">
        <f t="shared" si="66"/>
        <v>0</v>
      </c>
      <c r="R157">
        <f t="shared" si="67"/>
        <v>0</v>
      </c>
      <c r="S157">
        <f t="shared" si="68"/>
        <v>0</v>
      </c>
      <c r="T157">
        <f t="shared" si="69"/>
        <v>0</v>
      </c>
      <c r="U157">
        <f t="shared" si="70"/>
        <v>0</v>
      </c>
      <c r="V157">
        <f t="shared" si="71"/>
        <v>0</v>
      </c>
      <c r="W157">
        <f t="shared" si="72"/>
        <v>0</v>
      </c>
      <c r="X157">
        <f t="shared" si="73"/>
        <v>0</v>
      </c>
    </row>
    <row r="158" spans="8:24" x14ac:dyDescent="0.3">
      <c r="H158">
        <f t="shared" si="57"/>
        <v>0</v>
      </c>
      <c r="I158">
        <f t="shared" si="58"/>
        <v>0</v>
      </c>
      <c r="J158">
        <f t="shared" si="59"/>
        <v>0</v>
      </c>
      <c r="K158">
        <f t="shared" si="60"/>
        <v>0</v>
      </c>
      <c r="L158">
        <f t="shared" si="61"/>
        <v>0</v>
      </c>
      <c r="M158" t="str">
        <f t="shared" si="62"/>
        <v>DOWN</v>
      </c>
      <c r="N158">
        <f t="shared" si="63"/>
        <v>0</v>
      </c>
      <c r="O158">
        <f t="shared" si="64"/>
        <v>0</v>
      </c>
      <c r="P158">
        <f t="shared" si="65"/>
        <v>0</v>
      </c>
      <c r="Q158">
        <f t="shared" si="66"/>
        <v>0</v>
      </c>
      <c r="R158">
        <f t="shared" si="67"/>
        <v>0</v>
      </c>
      <c r="S158">
        <f t="shared" si="68"/>
        <v>0</v>
      </c>
      <c r="T158">
        <f t="shared" si="69"/>
        <v>0</v>
      </c>
      <c r="U158">
        <f t="shared" si="70"/>
        <v>0</v>
      </c>
      <c r="V158">
        <f t="shared" si="71"/>
        <v>0</v>
      </c>
      <c r="W158">
        <f t="shared" si="72"/>
        <v>0</v>
      </c>
      <c r="X158">
        <f t="shared" si="73"/>
        <v>0</v>
      </c>
    </row>
    <row r="159" spans="8:24" x14ac:dyDescent="0.3">
      <c r="H159">
        <f t="shared" si="57"/>
        <v>0</v>
      </c>
      <c r="I159">
        <f t="shared" si="58"/>
        <v>0</v>
      </c>
      <c r="J159">
        <f t="shared" si="59"/>
        <v>0</v>
      </c>
      <c r="K159">
        <f t="shared" si="60"/>
        <v>0</v>
      </c>
      <c r="L159">
        <f t="shared" si="61"/>
        <v>0</v>
      </c>
      <c r="M159" t="str">
        <f t="shared" si="62"/>
        <v>DOWN</v>
      </c>
      <c r="N159">
        <f t="shared" si="63"/>
        <v>0</v>
      </c>
      <c r="O159">
        <f t="shared" si="64"/>
        <v>0</v>
      </c>
      <c r="P159">
        <f t="shared" si="65"/>
        <v>0</v>
      </c>
      <c r="Q159">
        <f t="shared" si="66"/>
        <v>0</v>
      </c>
      <c r="R159">
        <f t="shared" si="67"/>
        <v>0</v>
      </c>
      <c r="S159">
        <f t="shared" si="68"/>
        <v>0</v>
      </c>
      <c r="T159">
        <f t="shared" si="69"/>
        <v>0</v>
      </c>
      <c r="U159">
        <f t="shared" si="70"/>
        <v>0</v>
      </c>
      <c r="V159">
        <f t="shared" si="71"/>
        <v>0</v>
      </c>
      <c r="W159">
        <f t="shared" si="72"/>
        <v>0</v>
      </c>
      <c r="X159">
        <f t="shared" si="73"/>
        <v>0</v>
      </c>
    </row>
    <row r="160" spans="8:24" x14ac:dyDescent="0.3">
      <c r="H160">
        <f t="shared" si="57"/>
        <v>0</v>
      </c>
      <c r="I160">
        <f t="shared" si="58"/>
        <v>0</v>
      </c>
      <c r="J160">
        <f t="shared" si="59"/>
        <v>0</v>
      </c>
      <c r="K160">
        <f t="shared" si="60"/>
        <v>0</v>
      </c>
      <c r="L160">
        <f t="shared" si="61"/>
        <v>0</v>
      </c>
      <c r="M160" t="str">
        <f t="shared" si="62"/>
        <v>DOWN</v>
      </c>
      <c r="N160">
        <f t="shared" si="63"/>
        <v>0</v>
      </c>
      <c r="O160">
        <f t="shared" si="64"/>
        <v>0</v>
      </c>
      <c r="P160">
        <f t="shared" si="65"/>
        <v>0</v>
      </c>
      <c r="Q160">
        <f t="shared" si="66"/>
        <v>0</v>
      </c>
      <c r="R160">
        <f t="shared" si="67"/>
        <v>0</v>
      </c>
      <c r="S160">
        <f t="shared" si="68"/>
        <v>0</v>
      </c>
      <c r="T160">
        <f t="shared" si="69"/>
        <v>0</v>
      </c>
      <c r="U160">
        <f t="shared" si="70"/>
        <v>0</v>
      </c>
      <c r="V160">
        <f t="shared" si="71"/>
        <v>0</v>
      </c>
      <c r="W160">
        <f t="shared" si="72"/>
        <v>0</v>
      </c>
      <c r="X160">
        <f t="shared" si="73"/>
        <v>0</v>
      </c>
    </row>
    <row r="161" spans="8:24" x14ac:dyDescent="0.3">
      <c r="H161">
        <f t="shared" si="57"/>
        <v>0</v>
      </c>
      <c r="I161">
        <f t="shared" si="58"/>
        <v>0</v>
      </c>
      <c r="J161">
        <f t="shared" si="59"/>
        <v>0</v>
      </c>
      <c r="K161">
        <f t="shared" si="60"/>
        <v>0</v>
      </c>
      <c r="L161">
        <f t="shared" si="61"/>
        <v>0</v>
      </c>
      <c r="M161" t="str">
        <f t="shared" si="62"/>
        <v>DOWN</v>
      </c>
      <c r="N161">
        <f t="shared" si="63"/>
        <v>0</v>
      </c>
      <c r="O161">
        <f t="shared" si="64"/>
        <v>0</v>
      </c>
      <c r="P161">
        <f t="shared" si="65"/>
        <v>0</v>
      </c>
      <c r="Q161">
        <f t="shared" si="66"/>
        <v>0</v>
      </c>
      <c r="R161">
        <f t="shared" si="67"/>
        <v>0</v>
      </c>
      <c r="S161">
        <f t="shared" si="68"/>
        <v>0</v>
      </c>
      <c r="T161">
        <f t="shared" si="69"/>
        <v>0</v>
      </c>
      <c r="U161">
        <f t="shared" si="70"/>
        <v>0</v>
      </c>
      <c r="V161">
        <f t="shared" si="71"/>
        <v>0</v>
      </c>
      <c r="W161">
        <f t="shared" si="72"/>
        <v>0</v>
      </c>
      <c r="X161">
        <f t="shared" si="73"/>
        <v>0</v>
      </c>
    </row>
    <row r="162" spans="8:24" x14ac:dyDescent="0.3">
      <c r="H162">
        <f t="shared" ref="H162:H193" si="74">E163</f>
        <v>0</v>
      </c>
      <c r="I162">
        <f t="shared" ref="I162:I193" si="75">MAX(C162,H162)</f>
        <v>0</v>
      </c>
      <c r="J162">
        <f t="shared" ref="J162:J193" si="76">MIN(D162,H162)</f>
        <v>0</v>
      </c>
      <c r="K162">
        <f t="shared" ref="K162:K193" si="77">I162-J162</f>
        <v>0</v>
      </c>
      <c r="L162">
        <f t="shared" ref="L162:L193" si="78">B162-E163</f>
        <v>0</v>
      </c>
      <c r="M162" t="str">
        <f t="shared" ref="M162:M193" si="79">IF(E162&gt;E163,"UP","DOWN")</f>
        <v>DOWN</v>
      </c>
      <c r="N162">
        <f t="shared" ref="N162:N193" si="80">E162-E163</f>
        <v>0</v>
      </c>
      <c r="O162">
        <f t="shared" si="64"/>
        <v>0</v>
      </c>
      <c r="P162">
        <f t="shared" si="65"/>
        <v>0</v>
      </c>
      <c r="Q162">
        <f t="shared" ref="Q162:Q193" si="81">SUM(N162:N211)</f>
        <v>0</v>
      </c>
      <c r="R162">
        <f t="shared" si="67"/>
        <v>0</v>
      </c>
      <c r="S162">
        <f t="shared" si="68"/>
        <v>0</v>
      </c>
      <c r="T162">
        <f t="shared" si="69"/>
        <v>0</v>
      </c>
      <c r="U162">
        <f t="shared" si="70"/>
        <v>0</v>
      </c>
      <c r="V162">
        <f t="shared" ref="V162:V193" si="82">SUM(E162:E261)/100</f>
        <v>0</v>
      </c>
      <c r="W162">
        <f t="shared" ref="W162:W193" si="83">V162-V163</f>
        <v>0</v>
      </c>
      <c r="X162">
        <f t="shared" ref="X162:X193" si="84">SUM(E162:E361)/200</f>
        <v>0</v>
      </c>
    </row>
    <row r="163" spans="8:24" x14ac:dyDescent="0.3">
      <c r="H163">
        <f t="shared" si="74"/>
        <v>0</v>
      </c>
      <c r="I163">
        <f t="shared" si="75"/>
        <v>0</v>
      </c>
      <c r="J163">
        <f t="shared" si="76"/>
        <v>0</v>
      </c>
      <c r="K163">
        <f t="shared" si="77"/>
        <v>0</v>
      </c>
      <c r="L163">
        <f t="shared" si="78"/>
        <v>0</v>
      </c>
      <c r="M163" t="str">
        <f t="shared" si="79"/>
        <v>DOWN</v>
      </c>
      <c r="N163">
        <f t="shared" si="80"/>
        <v>0</v>
      </c>
      <c r="O163">
        <f t="shared" si="64"/>
        <v>0</v>
      </c>
      <c r="P163">
        <f t="shared" si="65"/>
        <v>0</v>
      </c>
      <c r="Q163">
        <f t="shared" si="81"/>
        <v>0</v>
      </c>
      <c r="R163">
        <f t="shared" si="67"/>
        <v>0</v>
      </c>
      <c r="S163">
        <f t="shared" si="68"/>
        <v>0</v>
      </c>
      <c r="T163">
        <f t="shared" si="69"/>
        <v>0</v>
      </c>
      <c r="U163">
        <f t="shared" si="70"/>
        <v>0</v>
      </c>
      <c r="V163">
        <f t="shared" si="82"/>
        <v>0</v>
      </c>
      <c r="W163">
        <f t="shared" si="83"/>
        <v>0</v>
      </c>
      <c r="X163">
        <f t="shared" si="84"/>
        <v>0</v>
      </c>
    </row>
    <row r="164" spans="8:24" x14ac:dyDescent="0.3">
      <c r="H164">
        <f t="shared" si="74"/>
        <v>0</v>
      </c>
      <c r="I164">
        <f t="shared" si="75"/>
        <v>0</v>
      </c>
      <c r="J164">
        <f t="shared" si="76"/>
        <v>0</v>
      </c>
      <c r="K164">
        <f t="shared" si="77"/>
        <v>0</v>
      </c>
      <c r="L164">
        <f t="shared" si="78"/>
        <v>0</v>
      </c>
      <c r="M164" t="str">
        <f t="shared" si="79"/>
        <v>DOWN</v>
      </c>
      <c r="N164">
        <f t="shared" si="80"/>
        <v>0</v>
      </c>
      <c r="O164">
        <f t="shared" si="64"/>
        <v>0</v>
      </c>
      <c r="P164">
        <f t="shared" si="65"/>
        <v>0</v>
      </c>
      <c r="Q164">
        <f t="shared" si="81"/>
        <v>0</v>
      </c>
      <c r="R164">
        <f t="shared" si="67"/>
        <v>0</v>
      </c>
      <c r="S164">
        <f t="shared" si="68"/>
        <v>0</v>
      </c>
      <c r="T164">
        <f t="shared" si="69"/>
        <v>0</v>
      </c>
      <c r="U164">
        <f t="shared" si="70"/>
        <v>0</v>
      </c>
      <c r="V164">
        <f t="shared" si="82"/>
        <v>0</v>
      </c>
      <c r="W164">
        <f t="shared" si="83"/>
        <v>0</v>
      </c>
      <c r="X164">
        <f t="shared" si="84"/>
        <v>0</v>
      </c>
    </row>
    <row r="165" spans="8:24" x14ac:dyDescent="0.3">
      <c r="H165">
        <f t="shared" si="74"/>
        <v>0</v>
      </c>
      <c r="I165">
        <f t="shared" si="75"/>
        <v>0</v>
      </c>
      <c r="J165">
        <f t="shared" si="76"/>
        <v>0</v>
      </c>
      <c r="K165">
        <f t="shared" si="77"/>
        <v>0</v>
      </c>
      <c r="L165">
        <f t="shared" si="78"/>
        <v>0</v>
      </c>
      <c r="M165" t="str">
        <f t="shared" si="79"/>
        <v>DOWN</v>
      </c>
      <c r="N165">
        <f t="shared" si="80"/>
        <v>0</v>
      </c>
      <c r="O165">
        <f t="shared" si="64"/>
        <v>0</v>
      </c>
      <c r="P165">
        <f t="shared" si="65"/>
        <v>0</v>
      </c>
      <c r="Q165">
        <f t="shared" si="81"/>
        <v>0</v>
      </c>
      <c r="R165">
        <f t="shared" si="67"/>
        <v>0</v>
      </c>
      <c r="S165">
        <f t="shared" si="68"/>
        <v>0</v>
      </c>
      <c r="T165">
        <f t="shared" si="69"/>
        <v>0</v>
      </c>
      <c r="U165">
        <f t="shared" si="70"/>
        <v>0</v>
      </c>
      <c r="V165">
        <f t="shared" si="82"/>
        <v>0</v>
      </c>
      <c r="W165">
        <f t="shared" si="83"/>
        <v>0</v>
      </c>
      <c r="X165">
        <f t="shared" si="84"/>
        <v>0</v>
      </c>
    </row>
    <row r="166" spans="8:24" x14ac:dyDescent="0.3">
      <c r="H166">
        <f t="shared" si="74"/>
        <v>0</v>
      </c>
      <c r="I166">
        <f t="shared" si="75"/>
        <v>0</v>
      </c>
      <c r="J166">
        <f t="shared" si="76"/>
        <v>0</v>
      </c>
      <c r="K166">
        <f t="shared" si="77"/>
        <v>0</v>
      </c>
      <c r="L166">
        <f t="shared" si="78"/>
        <v>0</v>
      </c>
      <c r="M166" t="str">
        <f t="shared" si="79"/>
        <v>DOWN</v>
      </c>
      <c r="N166">
        <f t="shared" si="80"/>
        <v>0</v>
      </c>
      <c r="O166">
        <f t="shared" si="64"/>
        <v>0</v>
      </c>
      <c r="P166">
        <f t="shared" si="65"/>
        <v>0</v>
      </c>
      <c r="Q166">
        <f t="shared" si="81"/>
        <v>0</v>
      </c>
      <c r="R166">
        <f t="shared" si="67"/>
        <v>0</v>
      </c>
      <c r="S166">
        <f t="shared" si="68"/>
        <v>0</v>
      </c>
      <c r="T166">
        <f t="shared" si="69"/>
        <v>0</v>
      </c>
      <c r="U166">
        <f t="shared" si="70"/>
        <v>0</v>
      </c>
      <c r="V166">
        <f t="shared" si="82"/>
        <v>0</v>
      </c>
      <c r="W166">
        <f t="shared" si="83"/>
        <v>0</v>
      </c>
      <c r="X166">
        <f t="shared" si="84"/>
        <v>0</v>
      </c>
    </row>
    <row r="167" spans="8:24" x14ac:dyDescent="0.3">
      <c r="H167">
        <f t="shared" si="74"/>
        <v>0</v>
      </c>
      <c r="I167">
        <f t="shared" si="75"/>
        <v>0</v>
      </c>
      <c r="J167">
        <f t="shared" si="76"/>
        <v>0</v>
      </c>
      <c r="K167">
        <f t="shared" si="77"/>
        <v>0</v>
      </c>
      <c r="L167">
        <f t="shared" si="78"/>
        <v>0</v>
      </c>
      <c r="M167" t="str">
        <f t="shared" si="79"/>
        <v>DOWN</v>
      </c>
      <c r="N167">
        <f t="shared" si="80"/>
        <v>0</v>
      </c>
      <c r="O167">
        <f t="shared" si="64"/>
        <v>0</v>
      </c>
      <c r="P167">
        <f t="shared" si="65"/>
        <v>0</v>
      </c>
      <c r="Q167">
        <f t="shared" si="81"/>
        <v>0</v>
      </c>
      <c r="R167">
        <f t="shared" si="67"/>
        <v>0</v>
      </c>
      <c r="S167">
        <f t="shared" si="68"/>
        <v>0</v>
      </c>
      <c r="T167">
        <f t="shared" si="69"/>
        <v>0</v>
      </c>
      <c r="U167">
        <f t="shared" si="70"/>
        <v>0</v>
      </c>
      <c r="V167">
        <f t="shared" si="82"/>
        <v>0</v>
      </c>
      <c r="W167">
        <f t="shared" si="83"/>
        <v>0</v>
      </c>
      <c r="X167">
        <f t="shared" si="84"/>
        <v>0</v>
      </c>
    </row>
    <row r="168" spans="8:24" x14ac:dyDescent="0.3">
      <c r="H168">
        <f t="shared" si="74"/>
        <v>0</v>
      </c>
      <c r="I168">
        <f t="shared" si="75"/>
        <v>0</v>
      </c>
      <c r="J168">
        <f t="shared" si="76"/>
        <v>0</v>
      </c>
      <c r="K168">
        <f t="shared" si="77"/>
        <v>0</v>
      </c>
      <c r="L168">
        <f t="shared" si="78"/>
        <v>0</v>
      </c>
      <c r="M168" t="str">
        <f t="shared" si="79"/>
        <v>DOWN</v>
      </c>
      <c r="N168">
        <f t="shared" si="80"/>
        <v>0</v>
      </c>
      <c r="O168">
        <f t="shared" si="64"/>
        <v>0</v>
      </c>
      <c r="P168">
        <f t="shared" si="65"/>
        <v>0</v>
      </c>
      <c r="Q168">
        <f t="shared" si="81"/>
        <v>0</v>
      </c>
      <c r="R168">
        <f t="shared" si="67"/>
        <v>0</v>
      </c>
      <c r="S168">
        <f t="shared" si="68"/>
        <v>0</v>
      </c>
      <c r="T168">
        <f t="shared" si="69"/>
        <v>0</v>
      </c>
      <c r="U168">
        <f t="shared" si="70"/>
        <v>0</v>
      </c>
      <c r="V168">
        <f t="shared" si="82"/>
        <v>0</v>
      </c>
      <c r="W168">
        <f t="shared" si="83"/>
        <v>0</v>
      </c>
      <c r="X168">
        <f t="shared" si="84"/>
        <v>0</v>
      </c>
    </row>
    <row r="169" spans="8:24" x14ac:dyDescent="0.3">
      <c r="H169">
        <f t="shared" si="74"/>
        <v>0</v>
      </c>
      <c r="I169">
        <f t="shared" si="75"/>
        <v>0</v>
      </c>
      <c r="J169">
        <f t="shared" si="76"/>
        <v>0</v>
      </c>
      <c r="K169">
        <f t="shared" si="77"/>
        <v>0</v>
      </c>
      <c r="L169">
        <f t="shared" si="78"/>
        <v>0</v>
      </c>
      <c r="M169" t="str">
        <f t="shared" si="79"/>
        <v>DOWN</v>
      </c>
      <c r="N169">
        <f t="shared" si="80"/>
        <v>0</v>
      </c>
      <c r="O169">
        <f t="shared" si="64"/>
        <v>0</v>
      </c>
      <c r="P169">
        <f t="shared" si="65"/>
        <v>0</v>
      </c>
      <c r="Q169">
        <f t="shared" si="81"/>
        <v>0</v>
      </c>
      <c r="R169">
        <f t="shared" si="67"/>
        <v>0</v>
      </c>
      <c r="S169">
        <f t="shared" si="68"/>
        <v>0</v>
      </c>
      <c r="T169">
        <f t="shared" si="69"/>
        <v>0</v>
      </c>
      <c r="U169">
        <f t="shared" si="70"/>
        <v>0</v>
      </c>
      <c r="V169">
        <f t="shared" si="82"/>
        <v>0</v>
      </c>
      <c r="W169">
        <f t="shared" si="83"/>
        <v>0</v>
      </c>
      <c r="X169">
        <f t="shared" si="84"/>
        <v>0</v>
      </c>
    </row>
    <row r="170" spans="8:24" x14ac:dyDescent="0.3">
      <c r="H170">
        <f t="shared" si="74"/>
        <v>0</v>
      </c>
      <c r="I170">
        <f t="shared" si="75"/>
        <v>0</v>
      </c>
      <c r="J170">
        <f t="shared" si="76"/>
        <v>0</v>
      </c>
      <c r="K170">
        <f t="shared" si="77"/>
        <v>0</v>
      </c>
      <c r="L170">
        <f t="shared" si="78"/>
        <v>0</v>
      </c>
      <c r="M170" t="str">
        <f t="shared" si="79"/>
        <v>DOWN</v>
      </c>
      <c r="N170">
        <f t="shared" si="80"/>
        <v>0</v>
      </c>
      <c r="O170">
        <f t="shared" si="64"/>
        <v>0</v>
      </c>
      <c r="P170">
        <f t="shared" si="65"/>
        <v>0</v>
      </c>
      <c r="Q170">
        <f t="shared" si="81"/>
        <v>0</v>
      </c>
      <c r="R170">
        <f t="shared" si="67"/>
        <v>0</v>
      </c>
      <c r="S170">
        <f t="shared" si="68"/>
        <v>0</v>
      </c>
      <c r="T170">
        <f t="shared" si="69"/>
        <v>0</v>
      </c>
      <c r="U170">
        <f t="shared" si="70"/>
        <v>0</v>
      </c>
      <c r="V170">
        <f t="shared" si="82"/>
        <v>0</v>
      </c>
      <c r="W170">
        <f t="shared" si="83"/>
        <v>0</v>
      </c>
      <c r="X170">
        <f t="shared" si="84"/>
        <v>0</v>
      </c>
    </row>
    <row r="171" spans="8:24" x14ac:dyDescent="0.3">
      <c r="H171">
        <f t="shared" si="74"/>
        <v>0</v>
      </c>
      <c r="I171">
        <f t="shared" si="75"/>
        <v>0</v>
      </c>
      <c r="J171">
        <f t="shared" si="76"/>
        <v>0</v>
      </c>
      <c r="K171">
        <f t="shared" si="77"/>
        <v>0</v>
      </c>
      <c r="L171">
        <f t="shared" si="78"/>
        <v>0</v>
      </c>
      <c r="M171" t="str">
        <f t="shared" si="79"/>
        <v>DOWN</v>
      </c>
      <c r="N171">
        <f t="shared" si="80"/>
        <v>0</v>
      </c>
      <c r="O171">
        <f t="shared" si="64"/>
        <v>0</v>
      </c>
      <c r="P171">
        <f t="shared" si="65"/>
        <v>0</v>
      </c>
      <c r="Q171">
        <f t="shared" si="81"/>
        <v>0</v>
      </c>
      <c r="R171">
        <f t="shared" si="67"/>
        <v>0</v>
      </c>
      <c r="S171">
        <f t="shared" si="68"/>
        <v>0</v>
      </c>
      <c r="T171">
        <f t="shared" si="69"/>
        <v>0</v>
      </c>
      <c r="U171">
        <f t="shared" si="70"/>
        <v>0</v>
      </c>
      <c r="V171">
        <f t="shared" si="82"/>
        <v>0</v>
      </c>
      <c r="W171">
        <f t="shared" si="83"/>
        <v>0</v>
      </c>
      <c r="X171">
        <f t="shared" si="84"/>
        <v>0</v>
      </c>
    </row>
    <row r="172" spans="8:24" x14ac:dyDescent="0.3">
      <c r="H172">
        <f t="shared" si="74"/>
        <v>0</v>
      </c>
      <c r="I172">
        <f t="shared" si="75"/>
        <v>0</v>
      </c>
      <c r="J172">
        <f t="shared" si="76"/>
        <v>0</v>
      </c>
      <c r="K172">
        <f t="shared" si="77"/>
        <v>0</v>
      </c>
      <c r="L172">
        <f t="shared" si="78"/>
        <v>0</v>
      </c>
      <c r="M172" t="str">
        <f t="shared" si="79"/>
        <v>DOWN</v>
      </c>
      <c r="N172">
        <f t="shared" si="80"/>
        <v>0</v>
      </c>
      <c r="O172">
        <f t="shared" si="64"/>
        <v>0</v>
      </c>
      <c r="P172">
        <f t="shared" si="65"/>
        <v>0</v>
      </c>
      <c r="Q172">
        <f t="shared" si="81"/>
        <v>0</v>
      </c>
      <c r="R172">
        <f t="shared" si="67"/>
        <v>0</v>
      </c>
      <c r="S172">
        <f t="shared" si="68"/>
        <v>0</v>
      </c>
      <c r="T172">
        <f t="shared" si="69"/>
        <v>0</v>
      </c>
      <c r="U172">
        <f t="shared" si="70"/>
        <v>0</v>
      </c>
      <c r="V172">
        <f t="shared" si="82"/>
        <v>0</v>
      </c>
      <c r="W172">
        <f t="shared" si="83"/>
        <v>0</v>
      </c>
      <c r="X172">
        <f t="shared" si="84"/>
        <v>0</v>
      </c>
    </row>
    <row r="173" spans="8:24" x14ac:dyDescent="0.3">
      <c r="H173">
        <f t="shared" si="74"/>
        <v>0</v>
      </c>
      <c r="I173">
        <f t="shared" si="75"/>
        <v>0</v>
      </c>
      <c r="J173">
        <f t="shared" si="76"/>
        <v>0</v>
      </c>
      <c r="K173">
        <f t="shared" si="77"/>
        <v>0</v>
      </c>
      <c r="L173">
        <f t="shared" si="78"/>
        <v>0</v>
      </c>
      <c r="M173" t="str">
        <f t="shared" si="79"/>
        <v>DOWN</v>
      </c>
      <c r="N173">
        <f t="shared" si="80"/>
        <v>0</v>
      </c>
      <c r="O173">
        <f t="shared" si="64"/>
        <v>0</v>
      </c>
      <c r="P173">
        <f t="shared" si="65"/>
        <v>0</v>
      </c>
      <c r="Q173">
        <f t="shared" si="81"/>
        <v>0</v>
      </c>
      <c r="R173">
        <f t="shared" si="67"/>
        <v>0</v>
      </c>
      <c r="S173">
        <f t="shared" si="68"/>
        <v>0</v>
      </c>
      <c r="T173">
        <f t="shared" si="69"/>
        <v>0</v>
      </c>
      <c r="U173">
        <f t="shared" si="70"/>
        <v>0</v>
      </c>
      <c r="V173">
        <f t="shared" si="82"/>
        <v>0</v>
      </c>
      <c r="W173">
        <f t="shared" si="83"/>
        <v>0</v>
      </c>
      <c r="X173">
        <f t="shared" si="84"/>
        <v>0</v>
      </c>
    </row>
    <row r="174" spans="8:24" x14ac:dyDescent="0.3">
      <c r="H174">
        <f t="shared" si="74"/>
        <v>0</v>
      </c>
      <c r="I174">
        <f t="shared" si="75"/>
        <v>0</v>
      </c>
      <c r="J174">
        <f t="shared" si="76"/>
        <v>0</v>
      </c>
      <c r="K174">
        <f t="shared" si="77"/>
        <v>0</v>
      </c>
      <c r="L174">
        <f t="shared" si="78"/>
        <v>0</v>
      </c>
      <c r="M174" t="str">
        <f t="shared" si="79"/>
        <v>DOWN</v>
      </c>
      <c r="N174">
        <f t="shared" si="80"/>
        <v>0</v>
      </c>
      <c r="O174">
        <f t="shared" si="64"/>
        <v>0</v>
      </c>
      <c r="P174">
        <f t="shared" si="65"/>
        <v>0</v>
      </c>
      <c r="Q174">
        <f t="shared" si="81"/>
        <v>0</v>
      </c>
      <c r="R174">
        <f t="shared" si="67"/>
        <v>0</v>
      </c>
      <c r="S174">
        <f t="shared" si="68"/>
        <v>0</v>
      </c>
      <c r="T174">
        <f t="shared" si="69"/>
        <v>0</v>
      </c>
      <c r="U174">
        <f t="shared" si="70"/>
        <v>0</v>
      </c>
      <c r="V174">
        <f t="shared" si="82"/>
        <v>0</v>
      </c>
      <c r="W174">
        <f t="shared" si="83"/>
        <v>0</v>
      </c>
      <c r="X174">
        <f t="shared" si="84"/>
        <v>0</v>
      </c>
    </row>
    <row r="175" spans="8:24" x14ac:dyDescent="0.3">
      <c r="H175">
        <f t="shared" si="74"/>
        <v>0</v>
      </c>
      <c r="I175">
        <f t="shared" si="75"/>
        <v>0</v>
      </c>
      <c r="J175">
        <f t="shared" si="76"/>
        <v>0</v>
      </c>
      <c r="K175">
        <f t="shared" si="77"/>
        <v>0</v>
      </c>
      <c r="L175">
        <f t="shared" si="78"/>
        <v>0</v>
      </c>
      <c r="M175" t="str">
        <f t="shared" si="79"/>
        <v>DOWN</v>
      </c>
      <c r="N175">
        <f t="shared" si="80"/>
        <v>0</v>
      </c>
      <c r="O175">
        <f t="shared" si="64"/>
        <v>0</v>
      </c>
      <c r="P175">
        <f t="shared" si="65"/>
        <v>0</v>
      </c>
      <c r="Q175">
        <f t="shared" si="81"/>
        <v>0</v>
      </c>
      <c r="R175">
        <f t="shared" si="67"/>
        <v>0</v>
      </c>
      <c r="S175">
        <f t="shared" si="68"/>
        <v>0</v>
      </c>
      <c r="T175">
        <f t="shared" si="69"/>
        <v>0</v>
      </c>
      <c r="U175">
        <f t="shared" si="70"/>
        <v>0</v>
      </c>
      <c r="V175">
        <f t="shared" si="82"/>
        <v>0</v>
      </c>
      <c r="W175">
        <f t="shared" si="83"/>
        <v>0</v>
      </c>
      <c r="X175">
        <f t="shared" si="84"/>
        <v>0</v>
      </c>
    </row>
    <row r="176" spans="8:24" x14ac:dyDescent="0.3">
      <c r="H176">
        <f t="shared" si="74"/>
        <v>0</v>
      </c>
      <c r="I176">
        <f t="shared" si="75"/>
        <v>0</v>
      </c>
      <c r="J176">
        <f t="shared" si="76"/>
        <v>0</v>
      </c>
      <c r="K176">
        <f t="shared" si="77"/>
        <v>0</v>
      </c>
      <c r="L176">
        <f t="shared" si="78"/>
        <v>0</v>
      </c>
      <c r="M176" t="str">
        <f t="shared" si="79"/>
        <v>DOWN</v>
      </c>
      <c r="N176">
        <f t="shared" si="80"/>
        <v>0</v>
      </c>
      <c r="O176">
        <f t="shared" si="64"/>
        <v>0</v>
      </c>
      <c r="P176">
        <f t="shared" si="65"/>
        <v>0</v>
      </c>
      <c r="Q176">
        <f t="shared" si="81"/>
        <v>0</v>
      </c>
      <c r="R176">
        <f t="shared" si="67"/>
        <v>0</v>
      </c>
      <c r="S176">
        <f t="shared" si="68"/>
        <v>0</v>
      </c>
      <c r="T176">
        <f t="shared" si="69"/>
        <v>0</v>
      </c>
      <c r="U176">
        <f t="shared" si="70"/>
        <v>0</v>
      </c>
      <c r="V176">
        <f t="shared" si="82"/>
        <v>0</v>
      </c>
      <c r="W176">
        <f t="shared" si="83"/>
        <v>0</v>
      </c>
      <c r="X176">
        <f t="shared" si="84"/>
        <v>0</v>
      </c>
    </row>
    <row r="177" spans="8:24" x14ac:dyDescent="0.3">
      <c r="H177">
        <f t="shared" si="74"/>
        <v>0</v>
      </c>
      <c r="I177">
        <f t="shared" si="75"/>
        <v>0</v>
      </c>
      <c r="J177">
        <f t="shared" si="76"/>
        <v>0</v>
      </c>
      <c r="K177">
        <f t="shared" si="77"/>
        <v>0</v>
      </c>
      <c r="L177">
        <f t="shared" si="78"/>
        <v>0</v>
      </c>
      <c r="M177" t="str">
        <f t="shared" si="79"/>
        <v>DOWN</v>
      </c>
      <c r="N177">
        <f t="shared" si="80"/>
        <v>0</v>
      </c>
      <c r="O177">
        <f t="shared" si="64"/>
        <v>0</v>
      </c>
      <c r="P177">
        <f t="shared" si="65"/>
        <v>0</v>
      </c>
      <c r="Q177">
        <f t="shared" si="81"/>
        <v>0</v>
      </c>
      <c r="R177">
        <f t="shared" si="67"/>
        <v>0</v>
      </c>
      <c r="S177">
        <f t="shared" si="68"/>
        <v>0</v>
      </c>
      <c r="T177">
        <f t="shared" si="69"/>
        <v>0</v>
      </c>
      <c r="U177">
        <f t="shared" si="70"/>
        <v>0</v>
      </c>
      <c r="V177">
        <f t="shared" si="82"/>
        <v>0</v>
      </c>
      <c r="W177">
        <f t="shared" si="83"/>
        <v>0</v>
      </c>
      <c r="X177">
        <f t="shared" si="84"/>
        <v>0</v>
      </c>
    </row>
    <row r="178" spans="8:24" x14ac:dyDescent="0.3">
      <c r="H178">
        <f t="shared" si="74"/>
        <v>0</v>
      </c>
      <c r="I178">
        <f t="shared" si="75"/>
        <v>0</v>
      </c>
      <c r="J178">
        <f t="shared" si="76"/>
        <v>0</v>
      </c>
      <c r="K178">
        <f t="shared" si="77"/>
        <v>0</v>
      </c>
      <c r="L178">
        <f t="shared" si="78"/>
        <v>0</v>
      </c>
      <c r="M178" t="str">
        <f t="shared" si="79"/>
        <v>DOWN</v>
      </c>
      <c r="N178">
        <f t="shared" si="80"/>
        <v>0</v>
      </c>
      <c r="O178">
        <f t="shared" si="64"/>
        <v>0</v>
      </c>
      <c r="P178">
        <f t="shared" si="65"/>
        <v>0</v>
      </c>
      <c r="Q178">
        <f t="shared" si="81"/>
        <v>0</v>
      </c>
      <c r="R178">
        <f t="shared" si="67"/>
        <v>0</v>
      </c>
      <c r="S178">
        <f t="shared" si="68"/>
        <v>0</v>
      </c>
      <c r="T178">
        <f t="shared" si="69"/>
        <v>0</v>
      </c>
      <c r="U178">
        <f t="shared" si="70"/>
        <v>0</v>
      </c>
      <c r="V178">
        <f t="shared" si="82"/>
        <v>0</v>
      </c>
      <c r="W178">
        <f t="shared" si="83"/>
        <v>0</v>
      </c>
      <c r="X178">
        <f t="shared" si="84"/>
        <v>0</v>
      </c>
    </row>
    <row r="179" spans="8:24" x14ac:dyDescent="0.3">
      <c r="H179">
        <f t="shared" si="74"/>
        <v>0</v>
      </c>
      <c r="I179">
        <f t="shared" si="75"/>
        <v>0</v>
      </c>
      <c r="J179">
        <f t="shared" si="76"/>
        <v>0</v>
      </c>
      <c r="K179">
        <f t="shared" si="77"/>
        <v>0</v>
      </c>
      <c r="L179">
        <f t="shared" si="78"/>
        <v>0</v>
      </c>
      <c r="M179" t="str">
        <f t="shared" si="79"/>
        <v>DOWN</v>
      </c>
      <c r="N179">
        <f t="shared" si="80"/>
        <v>0</v>
      </c>
      <c r="O179">
        <f t="shared" si="64"/>
        <v>0</v>
      </c>
      <c r="P179">
        <f t="shared" si="65"/>
        <v>0</v>
      </c>
      <c r="Q179">
        <f t="shared" si="81"/>
        <v>0</v>
      </c>
      <c r="R179">
        <f t="shared" si="67"/>
        <v>0</v>
      </c>
      <c r="S179">
        <f t="shared" si="68"/>
        <v>0</v>
      </c>
      <c r="T179">
        <f t="shared" si="69"/>
        <v>0</v>
      </c>
      <c r="U179">
        <f t="shared" si="70"/>
        <v>0</v>
      </c>
      <c r="V179">
        <f t="shared" si="82"/>
        <v>0</v>
      </c>
      <c r="W179">
        <f t="shared" si="83"/>
        <v>0</v>
      </c>
      <c r="X179">
        <f t="shared" si="84"/>
        <v>0</v>
      </c>
    </row>
    <row r="180" spans="8:24" x14ac:dyDescent="0.3">
      <c r="H180">
        <f t="shared" si="74"/>
        <v>0</v>
      </c>
      <c r="I180">
        <f t="shared" si="75"/>
        <v>0</v>
      </c>
      <c r="J180">
        <f t="shared" si="76"/>
        <v>0</v>
      </c>
      <c r="K180">
        <f t="shared" si="77"/>
        <v>0</v>
      </c>
      <c r="L180">
        <f t="shared" si="78"/>
        <v>0</v>
      </c>
      <c r="M180" t="str">
        <f t="shared" si="79"/>
        <v>DOWN</v>
      </c>
      <c r="N180">
        <f t="shared" si="80"/>
        <v>0</v>
      </c>
      <c r="O180">
        <f t="shared" si="64"/>
        <v>0</v>
      </c>
      <c r="P180">
        <f t="shared" si="65"/>
        <v>0</v>
      </c>
      <c r="Q180">
        <f t="shared" si="81"/>
        <v>0</v>
      </c>
      <c r="R180">
        <f t="shared" si="67"/>
        <v>0</v>
      </c>
      <c r="S180">
        <f t="shared" si="68"/>
        <v>0</v>
      </c>
      <c r="T180">
        <f t="shared" si="69"/>
        <v>0</v>
      </c>
      <c r="U180">
        <f t="shared" si="70"/>
        <v>0</v>
      </c>
      <c r="V180">
        <f t="shared" si="82"/>
        <v>0</v>
      </c>
      <c r="W180">
        <f t="shared" si="83"/>
        <v>0</v>
      </c>
      <c r="X180">
        <f t="shared" si="84"/>
        <v>0</v>
      </c>
    </row>
    <row r="181" spans="8:24" x14ac:dyDescent="0.3">
      <c r="H181">
        <f t="shared" si="74"/>
        <v>0</v>
      </c>
      <c r="I181">
        <f t="shared" si="75"/>
        <v>0</v>
      </c>
      <c r="J181">
        <f t="shared" si="76"/>
        <v>0</v>
      </c>
      <c r="K181">
        <f t="shared" si="77"/>
        <v>0</v>
      </c>
      <c r="L181">
        <f t="shared" si="78"/>
        <v>0</v>
      </c>
      <c r="M181" t="str">
        <f t="shared" si="79"/>
        <v>DOWN</v>
      </c>
      <c r="N181">
        <f t="shared" si="80"/>
        <v>0</v>
      </c>
      <c r="O181">
        <f t="shared" si="64"/>
        <v>0</v>
      </c>
      <c r="P181">
        <f t="shared" si="65"/>
        <v>0</v>
      </c>
      <c r="Q181">
        <f t="shared" si="81"/>
        <v>0</v>
      </c>
      <c r="R181">
        <f t="shared" si="67"/>
        <v>0</v>
      </c>
      <c r="S181">
        <f t="shared" si="68"/>
        <v>0</v>
      </c>
      <c r="T181">
        <f t="shared" si="69"/>
        <v>0</v>
      </c>
      <c r="U181">
        <f t="shared" si="70"/>
        <v>0</v>
      </c>
      <c r="V181">
        <f t="shared" si="82"/>
        <v>0</v>
      </c>
      <c r="W181">
        <f t="shared" si="83"/>
        <v>0</v>
      </c>
      <c r="X181">
        <f t="shared" si="84"/>
        <v>0</v>
      </c>
    </row>
    <row r="182" spans="8:24" x14ac:dyDescent="0.3">
      <c r="H182">
        <f t="shared" si="74"/>
        <v>0</v>
      </c>
      <c r="I182">
        <f t="shared" si="75"/>
        <v>0</v>
      </c>
      <c r="J182">
        <f t="shared" si="76"/>
        <v>0</v>
      </c>
      <c r="K182">
        <f t="shared" si="77"/>
        <v>0</v>
      </c>
      <c r="L182">
        <f t="shared" si="78"/>
        <v>0</v>
      </c>
      <c r="M182" t="str">
        <f t="shared" si="79"/>
        <v>DOWN</v>
      </c>
      <c r="N182">
        <f t="shared" si="80"/>
        <v>0</v>
      </c>
      <c r="O182">
        <f t="shared" si="64"/>
        <v>0</v>
      </c>
      <c r="P182">
        <f t="shared" si="65"/>
        <v>0</v>
      </c>
      <c r="Q182">
        <f t="shared" si="81"/>
        <v>0</v>
      </c>
      <c r="R182">
        <f t="shared" si="67"/>
        <v>0</v>
      </c>
      <c r="S182">
        <f t="shared" si="68"/>
        <v>0</v>
      </c>
      <c r="T182">
        <f t="shared" si="69"/>
        <v>0</v>
      </c>
      <c r="U182">
        <f t="shared" si="70"/>
        <v>0</v>
      </c>
      <c r="V182">
        <f t="shared" si="82"/>
        <v>0</v>
      </c>
      <c r="W182">
        <f t="shared" si="83"/>
        <v>0</v>
      </c>
      <c r="X182">
        <f t="shared" si="84"/>
        <v>0</v>
      </c>
    </row>
    <row r="183" spans="8:24" x14ac:dyDescent="0.3">
      <c r="H183">
        <f t="shared" si="74"/>
        <v>0</v>
      </c>
      <c r="I183">
        <f t="shared" si="75"/>
        <v>0</v>
      </c>
      <c r="J183">
        <f t="shared" si="76"/>
        <v>0</v>
      </c>
      <c r="K183">
        <f t="shared" si="77"/>
        <v>0</v>
      </c>
      <c r="L183">
        <f t="shared" si="78"/>
        <v>0</v>
      </c>
      <c r="M183" t="str">
        <f t="shared" si="79"/>
        <v>DOWN</v>
      </c>
      <c r="N183">
        <f t="shared" si="80"/>
        <v>0</v>
      </c>
      <c r="O183">
        <f t="shared" si="64"/>
        <v>0</v>
      </c>
      <c r="P183">
        <f t="shared" si="65"/>
        <v>0</v>
      </c>
      <c r="Q183">
        <f t="shared" si="81"/>
        <v>0</v>
      </c>
      <c r="R183">
        <f t="shared" si="67"/>
        <v>0</v>
      </c>
      <c r="S183">
        <f t="shared" si="68"/>
        <v>0</v>
      </c>
      <c r="T183">
        <f t="shared" si="69"/>
        <v>0</v>
      </c>
      <c r="U183">
        <f t="shared" si="70"/>
        <v>0</v>
      </c>
      <c r="V183">
        <f t="shared" si="82"/>
        <v>0</v>
      </c>
      <c r="W183">
        <f t="shared" si="83"/>
        <v>0</v>
      </c>
      <c r="X183">
        <f t="shared" si="84"/>
        <v>0</v>
      </c>
    </row>
    <row r="184" spans="8:24" x14ac:dyDescent="0.3">
      <c r="H184">
        <f t="shared" si="74"/>
        <v>0</v>
      </c>
      <c r="I184">
        <f t="shared" si="75"/>
        <v>0</v>
      </c>
      <c r="J184">
        <f t="shared" si="76"/>
        <v>0</v>
      </c>
      <c r="K184">
        <f t="shared" si="77"/>
        <v>0</v>
      </c>
      <c r="L184">
        <f t="shared" si="78"/>
        <v>0</v>
      </c>
      <c r="M184" t="str">
        <f t="shared" si="79"/>
        <v>DOWN</v>
      </c>
      <c r="N184">
        <f t="shared" si="80"/>
        <v>0</v>
      </c>
      <c r="O184">
        <f t="shared" si="64"/>
        <v>0</v>
      </c>
      <c r="P184">
        <f t="shared" si="65"/>
        <v>0</v>
      </c>
      <c r="Q184">
        <f t="shared" si="81"/>
        <v>0</v>
      </c>
      <c r="R184">
        <f t="shared" si="67"/>
        <v>0</v>
      </c>
      <c r="S184">
        <f t="shared" si="68"/>
        <v>0</v>
      </c>
      <c r="T184">
        <f t="shared" si="69"/>
        <v>0</v>
      </c>
      <c r="U184">
        <f t="shared" si="70"/>
        <v>0</v>
      </c>
      <c r="V184">
        <f t="shared" si="82"/>
        <v>0</v>
      </c>
      <c r="W184">
        <f t="shared" si="83"/>
        <v>0</v>
      </c>
      <c r="X184">
        <f t="shared" si="84"/>
        <v>0</v>
      </c>
    </row>
    <row r="185" spans="8:24" x14ac:dyDescent="0.3">
      <c r="H185">
        <f t="shared" si="74"/>
        <v>0</v>
      </c>
      <c r="I185">
        <f t="shared" si="75"/>
        <v>0</v>
      </c>
      <c r="J185">
        <f t="shared" si="76"/>
        <v>0</v>
      </c>
      <c r="K185">
        <f t="shared" si="77"/>
        <v>0</v>
      </c>
      <c r="L185">
        <f t="shared" si="78"/>
        <v>0</v>
      </c>
      <c r="M185" t="str">
        <f t="shared" si="79"/>
        <v>DOWN</v>
      </c>
      <c r="N185">
        <f t="shared" si="80"/>
        <v>0</v>
      </c>
      <c r="O185">
        <f t="shared" si="64"/>
        <v>0</v>
      </c>
      <c r="P185">
        <f t="shared" si="65"/>
        <v>0</v>
      </c>
      <c r="Q185">
        <f t="shared" si="81"/>
        <v>0</v>
      </c>
      <c r="R185">
        <f t="shared" si="67"/>
        <v>0</v>
      </c>
      <c r="S185">
        <f t="shared" si="68"/>
        <v>0</v>
      </c>
      <c r="T185">
        <f t="shared" si="69"/>
        <v>0</v>
      </c>
      <c r="U185">
        <f t="shared" si="70"/>
        <v>0</v>
      </c>
      <c r="V185">
        <f t="shared" si="82"/>
        <v>0</v>
      </c>
      <c r="W185">
        <f t="shared" si="83"/>
        <v>0</v>
      </c>
      <c r="X185">
        <f t="shared" si="84"/>
        <v>0</v>
      </c>
    </row>
    <row r="186" spans="8:24" x14ac:dyDescent="0.3">
      <c r="H186">
        <f t="shared" si="74"/>
        <v>0</v>
      </c>
      <c r="I186">
        <f t="shared" si="75"/>
        <v>0</v>
      </c>
      <c r="J186">
        <f t="shared" si="76"/>
        <v>0</v>
      </c>
      <c r="K186">
        <f t="shared" si="77"/>
        <v>0</v>
      </c>
      <c r="L186">
        <f t="shared" si="78"/>
        <v>0</v>
      </c>
      <c r="M186" t="str">
        <f t="shared" si="79"/>
        <v>DOWN</v>
      </c>
      <c r="N186">
        <f t="shared" si="80"/>
        <v>0</v>
      </c>
      <c r="O186">
        <f t="shared" si="64"/>
        <v>0</v>
      </c>
      <c r="P186">
        <f t="shared" si="65"/>
        <v>0</v>
      </c>
      <c r="Q186">
        <f t="shared" si="81"/>
        <v>0</v>
      </c>
      <c r="R186">
        <f t="shared" si="67"/>
        <v>0</v>
      </c>
      <c r="S186">
        <f t="shared" si="68"/>
        <v>0</v>
      </c>
      <c r="T186">
        <f t="shared" si="69"/>
        <v>0</v>
      </c>
      <c r="U186">
        <f t="shared" si="70"/>
        <v>0</v>
      </c>
      <c r="V186">
        <f t="shared" si="82"/>
        <v>0</v>
      </c>
      <c r="W186">
        <f t="shared" si="83"/>
        <v>0</v>
      </c>
      <c r="X186">
        <f t="shared" si="84"/>
        <v>0</v>
      </c>
    </row>
    <row r="187" spans="8:24" x14ac:dyDescent="0.3">
      <c r="H187">
        <f t="shared" si="74"/>
        <v>0</v>
      </c>
      <c r="I187">
        <f t="shared" si="75"/>
        <v>0</v>
      </c>
      <c r="J187">
        <f t="shared" si="76"/>
        <v>0</v>
      </c>
      <c r="K187">
        <f t="shared" si="77"/>
        <v>0</v>
      </c>
      <c r="L187">
        <f t="shared" si="78"/>
        <v>0</v>
      </c>
      <c r="M187" t="str">
        <f t="shared" si="79"/>
        <v>DOWN</v>
      </c>
      <c r="N187">
        <f t="shared" si="80"/>
        <v>0</v>
      </c>
      <c r="O187">
        <f t="shared" si="64"/>
        <v>0</v>
      </c>
      <c r="P187">
        <f t="shared" si="65"/>
        <v>0</v>
      </c>
      <c r="Q187">
        <f t="shared" si="81"/>
        <v>0</v>
      </c>
      <c r="R187">
        <f t="shared" si="67"/>
        <v>0</v>
      </c>
      <c r="S187">
        <f t="shared" si="68"/>
        <v>0</v>
      </c>
      <c r="T187">
        <f t="shared" si="69"/>
        <v>0</v>
      </c>
      <c r="U187">
        <f t="shared" si="70"/>
        <v>0</v>
      </c>
      <c r="V187">
        <f t="shared" si="82"/>
        <v>0</v>
      </c>
      <c r="W187">
        <f t="shared" si="83"/>
        <v>0</v>
      </c>
      <c r="X187">
        <f t="shared" si="84"/>
        <v>0</v>
      </c>
    </row>
    <row r="188" spans="8:24" x14ac:dyDescent="0.3">
      <c r="H188">
        <f t="shared" si="74"/>
        <v>0</v>
      </c>
      <c r="I188">
        <f t="shared" si="75"/>
        <v>0</v>
      </c>
      <c r="J188">
        <f t="shared" si="76"/>
        <v>0</v>
      </c>
      <c r="K188">
        <f t="shared" si="77"/>
        <v>0</v>
      </c>
      <c r="L188">
        <f t="shared" si="78"/>
        <v>0</v>
      </c>
      <c r="M188" t="str">
        <f t="shared" si="79"/>
        <v>DOWN</v>
      </c>
      <c r="N188">
        <f t="shared" si="80"/>
        <v>0</v>
      </c>
      <c r="O188">
        <f t="shared" si="64"/>
        <v>0</v>
      </c>
      <c r="P188">
        <f t="shared" si="65"/>
        <v>0</v>
      </c>
      <c r="Q188">
        <f t="shared" si="81"/>
        <v>0</v>
      </c>
      <c r="R188">
        <f t="shared" si="67"/>
        <v>0</v>
      </c>
      <c r="S188">
        <f t="shared" si="68"/>
        <v>0</v>
      </c>
      <c r="T188">
        <f t="shared" si="69"/>
        <v>0</v>
      </c>
      <c r="U188">
        <f t="shared" si="70"/>
        <v>0</v>
      </c>
      <c r="V188">
        <f t="shared" si="82"/>
        <v>0</v>
      </c>
      <c r="W188">
        <f t="shared" si="83"/>
        <v>0</v>
      </c>
      <c r="X188">
        <f t="shared" si="84"/>
        <v>0</v>
      </c>
    </row>
    <row r="189" spans="8:24" x14ac:dyDescent="0.3">
      <c r="H189">
        <f t="shared" si="74"/>
        <v>0</v>
      </c>
      <c r="I189">
        <f t="shared" si="75"/>
        <v>0</v>
      </c>
      <c r="J189">
        <f t="shared" si="76"/>
        <v>0</v>
      </c>
      <c r="K189">
        <f t="shared" si="77"/>
        <v>0</v>
      </c>
      <c r="L189">
        <f t="shared" si="78"/>
        <v>0</v>
      </c>
      <c r="M189" t="str">
        <f t="shared" si="79"/>
        <v>DOWN</v>
      </c>
      <c r="N189">
        <f t="shared" si="80"/>
        <v>0</v>
      </c>
      <c r="O189">
        <f t="shared" si="64"/>
        <v>0</v>
      </c>
      <c r="P189">
        <f t="shared" si="65"/>
        <v>0</v>
      </c>
      <c r="Q189">
        <f t="shared" si="81"/>
        <v>0</v>
      </c>
      <c r="R189">
        <f t="shared" si="67"/>
        <v>0</v>
      </c>
      <c r="S189">
        <f t="shared" si="68"/>
        <v>0</v>
      </c>
      <c r="T189">
        <f t="shared" si="69"/>
        <v>0</v>
      </c>
      <c r="U189">
        <f t="shared" si="70"/>
        <v>0</v>
      </c>
      <c r="V189">
        <f t="shared" si="82"/>
        <v>0</v>
      </c>
      <c r="W189">
        <f t="shared" si="83"/>
        <v>0</v>
      </c>
      <c r="X189">
        <f t="shared" si="84"/>
        <v>0</v>
      </c>
    </row>
    <row r="190" spans="8:24" x14ac:dyDescent="0.3">
      <c r="H190">
        <f t="shared" si="74"/>
        <v>0</v>
      </c>
      <c r="I190">
        <f t="shared" si="75"/>
        <v>0</v>
      </c>
      <c r="J190">
        <f t="shared" si="76"/>
        <v>0</v>
      </c>
      <c r="K190">
        <f t="shared" si="77"/>
        <v>0</v>
      </c>
      <c r="L190">
        <f t="shared" si="78"/>
        <v>0</v>
      </c>
      <c r="M190" t="str">
        <f t="shared" si="79"/>
        <v>DOWN</v>
      </c>
      <c r="N190">
        <f t="shared" si="80"/>
        <v>0</v>
      </c>
      <c r="O190">
        <f t="shared" si="64"/>
        <v>0</v>
      </c>
      <c r="P190">
        <f t="shared" si="65"/>
        <v>0</v>
      </c>
      <c r="Q190">
        <f t="shared" si="81"/>
        <v>0</v>
      </c>
      <c r="R190">
        <f t="shared" si="67"/>
        <v>0</v>
      </c>
      <c r="S190">
        <f t="shared" si="68"/>
        <v>0</v>
      </c>
      <c r="T190">
        <f t="shared" si="69"/>
        <v>0</v>
      </c>
      <c r="U190">
        <f t="shared" si="70"/>
        <v>0</v>
      </c>
      <c r="V190">
        <f t="shared" si="82"/>
        <v>0</v>
      </c>
      <c r="W190">
        <f t="shared" si="83"/>
        <v>0</v>
      </c>
      <c r="X190">
        <f t="shared" si="84"/>
        <v>0</v>
      </c>
    </row>
    <row r="191" spans="8:24" x14ac:dyDescent="0.3">
      <c r="H191">
        <f t="shared" si="74"/>
        <v>0</v>
      </c>
      <c r="I191">
        <f t="shared" si="75"/>
        <v>0</v>
      </c>
      <c r="J191">
        <f t="shared" si="76"/>
        <v>0</v>
      </c>
      <c r="K191">
        <f t="shared" si="77"/>
        <v>0</v>
      </c>
      <c r="L191">
        <f t="shared" si="78"/>
        <v>0</v>
      </c>
      <c r="M191" t="str">
        <f t="shared" si="79"/>
        <v>DOWN</v>
      </c>
      <c r="N191">
        <f t="shared" si="80"/>
        <v>0</v>
      </c>
      <c r="O191">
        <f t="shared" si="64"/>
        <v>0</v>
      </c>
      <c r="P191">
        <f t="shared" si="65"/>
        <v>0</v>
      </c>
      <c r="Q191">
        <f t="shared" si="81"/>
        <v>0</v>
      </c>
      <c r="R191">
        <f t="shared" si="67"/>
        <v>0</v>
      </c>
      <c r="S191">
        <f t="shared" si="68"/>
        <v>0</v>
      </c>
      <c r="T191">
        <f t="shared" si="69"/>
        <v>0</v>
      </c>
      <c r="U191">
        <f t="shared" si="70"/>
        <v>0</v>
      </c>
      <c r="V191">
        <f t="shared" si="82"/>
        <v>0</v>
      </c>
      <c r="W191">
        <f t="shared" si="83"/>
        <v>0</v>
      </c>
      <c r="X191">
        <f t="shared" si="84"/>
        <v>0</v>
      </c>
    </row>
    <row r="192" spans="8:24" x14ac:dyDescent="0.3">
      <c r="H192">
        <f t="shared" si="74"/>
        <v>0</v>
      </c>
      <c r="I192">
        <f t="shared" si="75"/>
        <v>0</v>
      </c>
      <c r="J192">
        <f t="shared" si="76"/>
        <v>0</v>
      </c>
      <c r="K192">
        <f t="shared" si="77"/>
        <v>0</v>
      </c>
      <c r="L192">
        <f t="shared" si="78"/>
        <v>0</v>
      </c>
      <c r="M192" t="str">
        <f t="shared" si="79"/>
        <v>DOWN</v>
      </c>
      <c r="N192">
        <f t="shared" si="80"/>
        <v>0</v>
      </c>
      <c r="O192">
        <f t="shared" si="64"/>
        <v>0</v>
      </c>
      <c r="P192">
        <f t="shared" si="65"/>
        <v>0</v>
      </c>
      <c r="Q192">
        <f t="shared" si="81"/>
        <v>0</v>
      </c>
      <c r="R192">
        <f t="shared" si="67"/>
        <v>0</v>
      </c>
      <c r="S192">
        <f t="shared" si="68"/>
        <v>0</v>
      </c>
      <c r="T192">
        <f t="shared" si="69"/>
        <v>0</v>
      </c>
      <c r="U192">
        <f t="shared" si="70"/>
        <v>0</v>
      </c>
      <c r="V192">
        <f t="shared" si="82"/>
        <v>0</v>
      </c>
      <c r="W192">
        <f t="shared" si="83"/>
        <v>0</v>
      </c>
      <c r="X192">
        <f t="shared" si="84"/>
        <v>0</v>
      </c>
    </row>
    <row r="193" spans="8:24" x14ac:dyDescent="0.3">
      <c r="H193">
        <f t="shared" si="74"/>
        <v>0</v>
      </c>
      <c r="I193">
        <f t="shared" si="75"/>
        <v>0</v>
      </c>
      <c r="J193">
        <f t="shared" si="76"/>
        <v>0</v>
      </c>
      <c r="K193">
        <f t="shared" si="77"/>
        <v>0</v>
      </c>
      <c r="L193">
        <f t="shared" si="78"/>
        <v>0</v>
      </c>
      <c r="M193" t="str">
        <f t="shared" si="79"/>
        <v>DOWN</v>
      </c>
      <c r="N193">
        <f t="shared" si="80"/>
        <v>0</v>
      </c>
      <c r="O193">
        <f t="shared" si="64"/>
        <v>0</v>
      </c>
      <c r="P193">
        <f t="shared" si="65"/>
        <v>0</v>
      </c>
      <c r="Q193">
        <f t="shared" si="81"/>
        <v>0</v>
      </c>
      <c r="R193">
        <f t="shared" si="67"/>
        <v>0</v>
      </c>
      <c r="S193">
        <f t="shared" si="68"/>
        <v>0</v>
      </c>
      <c r="T193">
        <f t="shared" si="69"/>
        <v>0</v>
      </c>
      <c r="U193">
        <f t="shared" si="70"/>
        <v>0</v>
      </c>
      <c r="V193">
        <f t="shared" si="82"/>
        <v>0</v>
      </c>
      <c r="W193">
        <f t="shared" si="83"/>
        <v>0</v>
      </c>
      <c r="X193">
        <f t="shared" si="84"/>
        <v>0</v>
      </c>
    </row>
    <row r="194" spans="8:24" x14ac:dyDescent="0.3">
      <c r="H194">
        <f t="shared" ref="H194:H201" si="85">E195</f>
        <v>0</v>
      </c>
      <c r="I194">
        <f t="shared" ref="I194:I225" si="86">MAX(C194,H194)</f>
        <v>0</v>
      </c>
      <c r="J194">
        <f t="shared" ref="J194:J201" si="87">MIN(D194,H194)</f>
        <v>0</v>
      </c>
      <c r="K194">
        <f t="shared" ref="K194:K225" si="88">I194-J194</f>
        <v>0</v>
      </c>
      <c r="L194">
        <f t="shared" ref="L194:L201" si="89">B194-E195</f>
        <v>0</v>
      </c>
      <c r="M194" t="str">
        <f t="shared" ref="M194:M201" si="90">IF(E194&gt;E195,"UP","DOWN")</f>
        <v>DOWN</v>
      </c>
      <c r="N194">
        <f t="shared" ref="N194:N201" si="91">E194-E195</f>
        <v>0</v>
      </c>
      <c r="O194">
        <f t="shared" ref="O194:O257" si="92">SUM(N194:N198)</f>
        <v>0</v>
      </c>
      <c r="P194">
        <f t="shared" ref="P194:P257" si="93">SUM(N194:N203)</f>
        <v>0</v>
      </c>
      <c r="Q194">
        <f t="shared" ref="Q194:Q225" si="94">SUM(N194:N243)</f>
        <v>0</v>
      </c>
      <c r="R194">
        <f t="shared" ref="R194:R257" si="95">SUM(E194:E203)/10</f>
        <v>0</v>
      </c>
      <c r="S194">
        <f t="shared" ref="S194:S257" si="96">R194-R195</f>
        <v>0</v>
      </c>
      <c r="T194">
        <f t="shared" ref="T194:T257" si="97">SUM(E194:E243)/50</f>
        <v>0</v>
      </c>
      <c r="U194">
        <f t="shared" ref="U194:U257" si="98">T194-T195</f>
        <v>0</v>
      </c>
      <c r="V194">
        <f t="shared" ref="V194:V225" si="99">SUM(E194:E293)/100</f>
        <v>0</v>
      </c>
      <c r="W194">
        <f t="shared" ref="W194:W225" si="100">V194-V195</f>
        <v>0</v>
      </c>
      <c r="X194">
        <f t="shared" ref="X194:X225" si="101">SUM(E194:E393)/200</f>
        <v>0</v>
      </c>
    </row>
    <row r="195" spans="8:24" x14ac:dyDescent="0.3">
      <c r="H195">
        <f t="shared" si="85"/>
        <v>0</v>
      </c>
      <c r="I195">
        <f t="shared" si="86"/>
        <v>0</v>
      </c>
      <c r="J195">
        <f t="shared" si="87"/>
        <v>0</v>
      </c>
      <c r="K195">
        <f t="shared" si="88"/>
        <v>0</v>
      </c>
      <c r="L195">
        <f t="shared" si="89"/>
        <v>0</v>
      </c>
      <c r="M195" t="str">
        <f t="shared" si="90"/>
        <v>DOWN</v>
      </c>
      <c r="N195">
        <f t="shared" si="91"/>
        <v>0</v>
      </c>
      <c r="O195">
        <f t="shared" si="92"/>
        <v>0</v>
      </c>
      <c r="P195">
        <f t="shared" si="93"/>
        <v>0</v>
      </c>
      <c r="Q195">
        <f t="shared" si="94"/>
        <v>0</v>
      </c>
      <c r="R195">
        <f t="shared" si="95"/>
        <v>0</v>
      </c>
      <c r="S195">
        <f t="shared" si="96"/>
        <v>0</v>
      </c>
      <c r="T195">
        <f t="shared" si="97"/>
        <v>0</v>
      </c>
      <c r="U195">
        <f t="shared" si="98"/>
        <v>0</v>
      </c>
      <c r="V195">
        <f t="shared" si="99"/>
        <v>0</v>
      </c>
      <c r="W195">
        <f t="shared" si="100"/>
        <v>0</v>
      </c>
      <c r="X195">
        <f t="shared" si="101"/>
        <v>0</v>
      </c>
    </row>
    <row r="196" spans="8:24" x14ac:dyDescent="0.3">
      <c r="H196">
        <f t="shared" si="85"/>
        <v>0</v>
      </c>
      <c r="I196">
        <f t="shared" si="86"/>
        <v>0</v>
      </c>
      <c r="J196">
        <f t="shared" si="87"/>
        <v>0</v>
      </c>
      <c r="K196">
        <f t="shared" si="88"/>
        <v>0</v>
      </c>
      <c r="L196">
        <f t="shared" si="89"/>
        <v>0</v>
      </c>
      <c r="M196" t="str">
        <f t="shared" si="90"/>
        <v>DOWN</v>
      </c>
      <c r="N196">
        <f t="shared" si="91"/>
        <v>0</v>
      </c>
      <c r="O196">
        <f t="shared" si="92"/>
        <v>0</v>
      </c>
      <c r="P196">
        <f t="shared" si="93"/>
        <v>0</v>
      </c>
      <c r="Q196">
        <f t="shared" si="94"/>
        <v>0</v>
      </c>
      <c r="R196">
        <f t="shared" si="95"/>
        <v>0</v>
      </c>
      <c r="S196">
        <f t="shared" si="96"/>
        <v>0</v>
      </c>
      <c r="T196">
        <f t="shared" si="97"/>
        <v>0</v>
      </c>
      <c r="U196">
        <f t="shared" si="98"/>
        <v>0</v>
      </c>
      <c r="V196">
        <f t="shared" si="99"/>
        <v>0</v>
      </c>
      <c r="W196">
        <f t="shared" si="100"/>
        <v>0</v>
      </c>
      <c r="X196">
        <f t="shared" si="101"/>
        <v>0</v>
      </c>
    </row>
    <row r="197" spans="8:24" x14ac:dyDescent="0.3">
      <c r="H197">
        <f t="shared" si="85"/>
        <v>0</v>
      </c>
      <c r="I197">
        <f t="shared" si="86"/>
        <v>0</v>
      </c>
      <c r="J197">
        <f t="shared" si="87"/>
        <v>0</v>
      </c>
      <c r="K197">
        <f t="shared" si="88"/>
        <v>0</v>
      </c>
      <c r="L197">
        <f t="shared" si="89"/>
        <v>0</v>
      </c>
      <c r="M197" t="str">
        <f t="shared" si="90"/>
        <v>DOWN</v>
      </c>
      <c r="N197">
        <f t="shared" si="91"/>
        <v>0</v>
      </c>
      <c r="O197">
        <f t="shared" si="92"/>
        <v>0</v>
      </c>
      <c r="P197">
        <f t="shared" si="93"/>
        <v>0</v>
      </c>
      <c r="Q197">
        <f t="shared" si="94"/>
        <v>0</v>
      </c>
      <c r="R197">
        <f t="shared" si="95"/>
        <v>0</v>
      </c>
      <c r="S197">
        <f t="shared" si="96"/>
        <v>0</v>
      </c>
      <c r="T197">
        <f t="shared" si="97"/>
        <v>0</v>
      </c>
      <c r="U197">
        <f t="shared" si="98"/>
        <v>0</v>
      </c>
      <c r="V197">
        <f t="shared" si="99"/>
        <v>0</v>
      </c>
      <c r="W197">
        <f t="shared" si="100"/>
        <v>0</v>
      </c>
      <c r="X197">
        <f t="shared" si="101"/>
        <v>0</v>
      </c>
    </row>
    <row r="198" spans="8:24" x14ac:dyDescent="0.3">
      <c r="H198">
        <f t="shared" si="85"/>
        <v>0</v>
      </c>
      <c r="I198">
        <f t="shared" si="86"/>
        <v>0</v>
      </c>
      <c r="J198">
        <f t="shared" si="87"/>
        <v>0</v>
      </c>
      <c r="K198">
        <f t="shared" si="88"/>
        <v>0</v>
      </c>
      <c r="L198">
        <f t="shared" si="89"/>
        <v>0</v>
      </c>
      <c r="M198" t="str">
        <f t="shared" si="90"/>
        <v>DOWN</v>
      </c>
      <c r="N198">
        <f t="shared" si="91"/>
        <v>0</v>
      </c>
      <c r="O198">
        <f t="shared" si="92"/>
        <v>0</v>
      </c>
      <c r="P198">
        <f t="shared" si="93"/>
        <v>0</v>
      </c>
      <c r="Q198">
        <f t="shared" si="94"/>
        <v>0</v>
      </c>
      <c r="R198">
        <f t="shared" si="95"/>
        <v>0</v>
      </c>
      <c r="S198">
        <f t="shared" si="96"/>
        <v>0</v>
      </c>
      <c r="T198">
        <f t="shared" si="97"/>
        <v>0</v>
      </c>
      <c r="U198">
        <f t="shared" si="98"/>
        <v>0</v>
      </c>
      <c r="V198">
        <f t="shared" si="99"/>
        <v>0</v>
      </c>
      <c r="W198">
        <f t="shared" si="100"/>
        <v>0</v>
      </c>
      <c r="X198">
        <f t="shared" si="101"/>
        <v>0</v>
      </c>
    </row>
    <row r="199" spans="8:24" x14ac:dyDescent="0.3">
      <c r="H199">
        <f t="shared" si="85"/>
        <v>0</v>
      </c>
      <c r="I199">
        <f t="shared" si="86"/>
        <v>0</v>
      </c>
      <c r="J199">
        <f t="shared" si="87"/>
        <v>0</v>
      </c>
      <c r="K199">
        <f t="shared" si="88"/>
        <v>0</v>
      </c>
      <c r="L199">
        <f t="shared" si="89"/>
        <v>0</v>
      </c>
      <c r="M199" t="str">
        <f t="shared" si="90"/>
        <v>DOWN</v>
      </c>
      <c r="N199">
        <f t="shared" si="91"/>
        <v>0</v>
      </c>
      <c r="O199">
        <f t="shared" si="92"/>
        <v>0</v>
      </c>
      <c r="P199">
        <f t="shared" si="93"/>
        <v>0</v>
      </c>
      <c r="Q199">
        <f t="shared" si="94"/>
        <v>0</v>
      </c>
      <c r="R199">
        <f t="shared" si="95"/>
        <v>0</v>
      </c>
      <c r="S199">
        <f t="shared" si="96"/>
        <v>0</v>
      </c>
      <c r="T199">
        <f t="shared" si="97"/>
        <v>0</v>
      </c>
      <c r="U199">
        <f t="shared" si="98"/>
        <v>0</v>
      </c>
      <c r="V199">
        <f t="shared" si="99"/>
        <v>0</v>
      </c>
      <c r="W199">
        <f t="shared" si="100"/>
        <v>0</v>
      </c>
      <c r="X199">
        <f t="shared" si="101"/>
        <v>0</v>
      </c>
    </row>
    <row r="200" spans="8:24" x14ac:dyDescent="0.3">
      <c r="H200">
        <f t="shared" si="85"/>
        <v>0</v>
      </c>
      <c r="I200">
        <f t="shared" si="86"/>
        <v>0</v>
      </c>
      <c r="J200">
        <f t="shared" si="87"/>
        <v>0</v>
      </c>
      <c r="K200">
        <f t="shared" si="88"/>
        <v>0</v>
      </c>
      <c r="L200">
        <f t="shared" si="89"/>
        <v>0</v>
      </c>
      <c r="M200" t="str">
        <f t="shared" si="90"/>
        <v>DOWN</v>
      </c>
      <c r="N200">
        <f t="shared" si="91"/>
        <v>0</v>
      </c>
      <c r="O200">
        <f t="shared" si="92"/>
        <v>0</v>
      </c>
      <c r="P200">
        <f t="shared" si="93"/>
        <v>0</v>
      </c>
      <c r="Q200">
        <f t="shared" si="94"/>
        <v>0</v>
      </c>
      <c r="R200">
        <f t="shared" si="95"/>
        <v>0</v>
      </c>
      <c r="S200">
        <f t="shared" si="96"/>
        <v>0</v>
      </c>
      <c r="T200">
        <f t="shared" si="97"/>
        <v>0</v>
      </c>
      <c r="U200">
        <f t="shared" si="98"/>
        <v>0</v>
      </c>
      <c r="V200">
        <f t="shared" si="99"/>
        <v>0</v>
      </c>
      <c r="W200">
        <f t="shared" si="100"/>
        <v>0</v>
      </c>
      <c r="X200">
        <f t="shared" si="101"/>
        <v>0</v>
      </c>
    </row>
    <row r="201" spans="8:24" x14ac:dyDescent="0.3">
      <c r="H201">
        <f t="shared" si="85"/>
        <v>0</v>
      </c>
      <c r="I201">
        <f t="shared" si="86"/>
        <v>0</v>
      </c>
      <c r="J201">
        <f t="shared" si="87"/>
        <v>0</v>
      </c>
      <c r="K201">
        <f t="shared" si="88"/>
        <v>0</v>
      </c>
      <c r="L201">
        <f t="shared" si="89"/>
        <v>0</v>
      </c>
      <c r="M201" t="str">
        <f t="shared" si="90"/>
        <v>DOWN</v>
      </c>
      <c r="N201">
        <f t="shared" si="91"/>
        <v>0</v>
      </c>
      <c r="O201">
        <f t="shared" si="92"/>
        <v>0</v>
      </c>
      <c r="P201">
        <f t="shared" si="93"/>
        <v>0</v>
      </c>
      <c r="Q201">
        <f t="shared" si="94"/>
        <v>0</v>
      </c>
      <c r="R201">
        <f t="shared" si="95"/>
        <v>0</v>
      </c>
      <c r="S201">
        <f t="shared" si="96"/>
        <v>0</v>
      </c>
      <c r="T201">
        <f t="shared" si="97"/>
        <v>0</v>
      </c>
      <c r="U201">
        <f t="shared" si="98"/>
        <v>0</v>
      </c>
      <c r="V201">
        <f t="shared" si="99"/>
        <v>0</v>
      </c>
      <c r="W201">
        <f t="shared" si="100"/>
        <v>0</v>
      </c>
      <c r="X201">
        <f t="shared" si="101"/>
        <v>0</v>
      </c>
    </row>
    <row r="202" spans="8:24" x14ac:dyDescent="0.3">
      <c r="O202">
        <f t="shared" si="92"/>
        <v>0</v>
      </c>
      <c r="P202">
        <f t="shared" si="93"/>
        <v>0</v>
      </c>
      <c r="R202">
        <f t="shared" si="95"/>
        <v>0</v>
      </c>
      <c r="S202">
        <f t="shared" si="96"/>
        <v>0</v>
      </c>
      <c r="T202">
        <f t="shared" si="97"/>
        <v>0</v>
      </c>
      <c r="U202">
        <f t="shared" si="98"/>
        <v>0</v>
      </c>
    </row>
    <row r="203" spans="8:24" x14ac:dyDescent="0.3">
      <c r="O203">
        <f t="shared" si="92"/>
        <v>0</v>
      </c>
      <c r="P203">
        <f t="shared" si="93"/>
        <v>0</v>
      </c>
      <c r="R203">
        <f t="shared" si="95"/>
        <v>0</v>
      </c>
      <c r="S203">
        <f t="shared" si="96"/>
        <v>0</v>
      </c>
      <c r="T203">
        <f t="shared" si="97"/>
        <v>0</v>
      </c>
      <c r="U203">
        <f t="shared" si="98"/>
        <v>0</v>
      </c>
    </row>
    <row r="204" spans="8:24" x14ac:dyDescent="0.3">
      <c r="O204">
        <f t="shared" si="92"/>
        <v>0</v>
      </c>
      <c r="P204">
        <f t="shared" si="93"/>
        <v>0</v>
      </c>
      <c r="R204">
        <f t="shared" si="95"/>
        <v>0</v>
      </c>
      <c r="S204">
        <f t="shared" si="96"/>
        <v>0</v>
      </c>
      <c r="T204">
        <f t="shared" si="97"/>
        <v>0</v>
      </c>
      <c r="U204">
        <f t="shared" si="98"/>
        <v>0</v>
      </c>
    </row>
    <row r="205" spans="8:24" x14ac:dyDescent="0.3">
      <c r="O205">
        <f t="shared" si="92"/>
        <v>0</v>
      </c>
      <c r="P205">
        <f t="shared" si="93"/>
        <v>0</v>
      </c>
      <c r="R205">
        <f t="shared" si="95"/>
        <v>0</v>
      </c>
      <c r="S205">
        <f t="shared" si="96"/>
        <v>0</v>
      </c>
      <c r="T205">
        <f t="shared" si="97"/>
        <v>0</v>
      </c>
      <c r="U205">
        <f t="shared" si="98"/>
        <v>0</v>
      </c>
    </row>
    <row r="206" spans="8:24" x14ac:dyDescent="0.3">
      <c r="O206">
        <f t="shared" si="92"/>
        <v>0</v>
      </c>
      <c r="P206">
        <f t="shared" si="93"/>
        <v>0</v>
      </c>
      <c r="R206">
        <f t="shared" si="95"/>
        <v>0</v>
      </c>
      <c r="S206">
        <f t="shared" si="96"/>
        <v>0</v>
      </c>
      <c r="T206">
        <f t="shared" si="97"/>
        <v>0</v>
      </c>
      <c r="U206">
        <f t="shared" si="98"/>
        <v>0</v>
      </c>
    </row>
    <row r="207" spans="8:24" x14ac:dyDescent="0.3">
      <c r="O207">
        <f t="shared" si="92"/>
        <v>0</v>
      </c>
      <c r="P207">
        <f t="shared" si="93"/>
        <v>0</v>
      </c>
      <c r="R207">
        <f t="shared" si="95"/>
        <v>0</v>
      </c>
      <c r="S207">
        <f t="shared" si="96"/>
        <v>0</v>
      </c>
      <c r="T207">
        <f t="shared" si="97"/>
        <v>0</v>
      </c>
      <c r="U207">
        <f t="shared" si="98"/>
        <v>0</v>
      </c>
    </row>
    <row r="208" spans="8:24" x14ac:dyDescent="0.3">
      <c r="O208">
        <f t="shared" si="92"/>
        <v>0</v>
      </c>
      <c r="P208">
        <f t="shared" si="93"/>
        <v>0</v>
      </c>
      <c r="R208">
        <f t="shared" si="95"/>
        <v>0</v>
      </c>
      <c r="S208">
        <f t="shared" si="96"/>
        <v>0</v>
      </c>
      <c r="T208">
        <f t="shared" si="97"/>
        <v>0</v>
      </c>
      <c r="U208">
        <f t="shared" si="98"/>
        <v>0</v>
      </c>
    </row>
    <row r="209" spans="15:21" x14ac:dyDescent="0.3">
      <c r="O209">
        <f t="shared" si="92"/>
        <v>0</v>
      </c>
      <c r="P209">
        <f t="shared" si="93"/>
        <v>0</v>
      </c>
      <c r="R209">
        <f t="shared" si="95"/>
        <v>0</v>
      </c>
      <c r="S209">
        <f t="shared" si="96"/>
        <v>0</v>
      </c>
      <c r="T209">
        <f t="shared" si="97"/>
        <v>0</v>
      </c>
      <c r="U209">
        <f t="shared" si="98"/>
        <v>0</v>
      </c>
    </row>
    <row r="210" spans="15:21" x14ac:dyDescent="0.3">
      <c r="O210">
        <f t="shared" si="92"/>
        <v>0</v>
      </c>
      <c r="P210">
        <f t="shared" si="93"/>
        <v>0</v>
      </c>
      <c r="R210">
        <f t="shared" si="95"/>
        <v>0</v>
      </c>
      <c r="S210">
        <f t="shared" si="96"/>
        <v>0</v>
      </c>
      <c r="T210">
        <f t="shared" si="97"/>
        <v>0</v>
      </c>
      <c r="U210">
        <f t="shared" si="98"/>
        <v>0</v>
      </c>
    </row>
    <row r="211" spans="15:21" x14ac:dyDescent="0.3">
      <c r="O211">
        <f t="shared" si="92"/>
        <v>0</v>
      </c>
      <c r="P211">
        <f t="shared" si="93"/>
        <v>0</v>
      </c>
      <c r="R211">
        <f t="shared" si="95"/>
        <v>0</v>
      </c>
      <c r="S211">
        <f t="shared" si="96"/>
        <v>0</v>
      </c>
      <c r="T211">
        <f t="shared" si="97"/>
        <v>0</v>
      </c>
      <c r="U211">
        <f t="shared" si="98"/>
        <v>0</v>
      </c>
    </row>
    <row r="212" spans="15:21" x14ac:dyDescent="0.3">
      <c r="O212">
        <f t="shared" si="92"/>
        <v>0</v>
      </c>
      <c r="P212">
        <f t="shared" si="93"/>
        <v>0</v>
      </c>
      <c r="R212">
        <f t="shared" si="95"/>
        <v>0</v>
      </c>
      <c r="S212">
        <f t="shared" si="96"/>
        <v>0</v>
      </c>
      <c r="T212">
        <f t="shared" si="97"/>
        <v>0</v>
      </c>
      <c r="U212">
        <f t="shared" si="98"/>
        <v>0</v>
      </c>
    </row>
    <row r="213" spans="15:21" x14ac:dyDescent="0.3">
      <c r="O213">
        <f t="shared" si="92"/>
        <v>0</v>
      </c>
      <c r="P213">
        <f t="shared" si="93"/>
        <v>0</v>
      </c>
      <c r="R213">
        <f t="shared" si="95"/>
        <v>0</v>
      </c>
      <c r="S213">
        <f t="shared" si="96"/>
        <v>0</v>
      </c>
      <c r="T213">
        <f t="shared" si="97"/>
        <v>0</v>
      </c>
      <c r="U213">
        <f t="shared" si="98"/>
        <v>0</v>
      </c>
    </row>
    <row r="214" spans="15:21" x14ac:dyDescent="0.3">
      <c r="O214">
        <f t="shared" si="92"/>
        <v>0</v>
      </c>
      <c r="P214">
        <f t="shared" si="93"/>
        <v>0</v>
      </c>
      <c r="R214">
        <f t="shared" si="95"/>
        <v>0</v>
      </c>
      <c r="S214">
        <f t="shared" si="96"/>
        <v>0</v>
      </c>
      <c r="T214">
        <f t="shared" si="97"/>
        <v>0</v>
      </c>
      <c r="U214">
        <f t="shared" si="98"/>
        <v>0</v>
      </c>
    </row>
    <row r="215" spans="15:21" x14ac:dyDescent="0.3">
      <c r="O215">
        <f t="shared" si="92"/>
        <v>0</v>
      </c>
      <c r="P215">
        <f t="shared" si="93"/>
        <v>0</v>
      </c>
      <c r="R215">
        <f t="shared" si="95"/>
        <v>0</v>
      </c>
      <c r="S215">
        <f t="shared" si="96"/>
        <v>0</v>
      </c>
      <c r="T215">
        <f t="shared" si="97"/>
        <v>0</v>
      </c>
      <c r="U215">
        <f t="shared" si="98"/>
        <v>0</v>
      </c>
    </row>
    <row r="216" spans="15:21" x14ac:dyDescent="0.3">
      <c r="O216">
        <f t="shared" si="92"/>
        <v>0</v>
      </c>
      <c r="P216">
        <f t="shared" si="93"/>
        <v>0</v>
      </c>
      <c r="R216">
        <f t="shared" si="95"/>
        <v>0</v>
      </c>
      <c r="S216">
        <f t="shared" si="96"/>
        <v>0</v>
      </c>
      <c r="T216">
        <f t="shared" si="97"/>
        <v>0</v>
      </c>
      <c r="U216">
        <f t="shared" si="98"/>
        <v>0</v>
      </c>
    </row>
    <row r="217" spans="15:21" x14ac:dyDescent="0.3">
      <c r="O217">
        <f t="shared" si="92"/>
        <v>0</v>
      </c>
      <c r="P217">
        <f t="shared" si="93"/>
        <v>0</v>
      </c>
      <c r="R217">
        <f t="shared" si="95"/>
        <v>0</v>
      </c>
      <c r="S217">
        <f t="shared" si="96"/>
        <v>0</v>
      </c>
      <c r="T217">
        <f t="shared" si="97"/>
        <v>0</v>
      </c>
      <c r="U217">
        <f t="shared" si="98"/>
        <v>0</v>
      </c>
    </row>
    <row r="218" spans="15:21" x14ac:dyDescent="0.3">
      <c r="O218">
        <f t="shared" si="92"/>
        <v>0</v>
      </c>
      <c r="P218">
        <f t="shared" si="93"/>
        <v>0</v>
      </c>
      <c r="R218">
        <f t="shared" si="95"/>
        <v>0</v>
      </c>
      <c r="S218">
        <f t="shared" si="96"/>
        <v>0</v>
      </c>
      <c r="T218">
        <f t="shared" si="97"/>
        <v>0</v>
      </c>
      <c r="U218">
        <f t="shared" si="98"/>
        <v>0</v>
      </c>
    </row>
    <row r="219" spans="15:21" x14ac:dyDescent="0.3">
      <c r="O219">
        <f t="shared" si="92"/>
        <v>0</v>
      </c>
      <c r="P219">
        <f t="shared" si="93"/>
        <v>0</v>
      </c>
      <c r="R219">
        <f t="shared" si="95"/>
        <v>0</v>
      </c>
      <c r="S219">
        <f t="shared" si="96"/>
        <v>0</v>
      </c>
      <c r="T219">
        <f t="shared" si="97"/>
        <v>0</v>
      </c>
      <c r="U219">
        <f t="shared" si="98"/>
        <v>0</v>
      </c>
    </row>
    <row r="220" spans="15:21" x14ac:dyDescent="0.3">
      <c r="O220">
        <f t="shared" si="92"/>
        <v>0</v>
      </c>
      <c r="P220">
        <f t="shared" si="93"/>
        <v>0</v>
      </c>
      <c r="R220">
        <f t="shared" si="95"/>
        <v>0</v>
      </c>
      <c r="S220">
        <f t="shared" si="96"/>
        <v>0</v>
      </c>
      <c r="T220">
        <f t="shared" si="97"/>
        <v>0</v>
      </c>
      <c r="U220">
        <f t="shared" si="98"/>
        <v>0</v>
      </c>
    </row>
    <row r="221" spans="15:21" x14ac:dyDescent="0.3">
      <c r="O221">
        <f t="shared" si="92"/>
        <v>0</v>
      </c>
      <c r="P221">
        <f t="shared" si="93"/>
        <v>0</v>
      </c>
      <c r="R221">
        <f t="shared" si="95"/>
        <v>0</v>
      </c>
      <c r="S221">
        <f t="shared" si="96"/>
        <v>0</v>
      </c>
      <c r="T221">
        <f t="shared" si="97"/>
        <v>0</v>
      </c>
      <c r="U221">
        <f t="shared" si="98"/>
        <v>0</v>
      </c>
    </row>
    <row r="222" spans="15:21" x14ac:dyDescent="0.3">
      <c r="O222">
        <f t="shared" si="92"/>
        <v>0</v>
      </c>
      <c r="P222">
        <f t="shared" si="93"/>
        <v>0</v>
      </c>
      <c r="R222">
        <f t="shared" si="95"/>
        <v>0</v>
      </c>
      <c r="S222">
        <f t="shared" si="96"/>
        <v>0</v>
      </c>
      <c r="T222">
        <f t="shared" si="97"/>
        <v>0</v>
      </c>
      <c r="U222">
        <f t="shared" si="98"/>
        <v>0</v>
      </c>
    </row>
    <row r="223" spans="15:21" x14ac:dyDescent="0.3">
      <c r="O223">
        <f t="shared" si="92"/>
        <v>0</v>
      </c>
      <c r="P223">
        <f t="shared" si="93"/>
        <v>0</v>
      </c>
      <c r="R223">
        <f t="shared" si="95"/>
        <v>0</v>
      </c>
      <c r="S223">
        <f t="shared" si="96"/>
        <v>0</v>
      </c>
      <c r="T223">
        <f t="shared" si="97"/>
        <v>0</v>
      </c>
      <c r="U223">
        <f t="shared" si="98"/>
        <v>0</v>
      </c>
    </row>
    <row r="224" spans="15:21" x14ac:dyDescent="0.3">
      <c r="O224">
        <f t="shared" si="92"/>
        <v>0</v>
      </c>
      <c r="P224">
        <f t="shared" si="93"/>
        <v>0</v>
      </c>
      <c r="R224">
        <f t="shared" si="95"/>
        <v>0</v>
      </c>
      <c r="S224">
        <f t="shared" si="96"/>
        <v>0</v>
      </c>
      <c r="T224">
        <f t="shared" si="97"/>
        <v>0</v>
      </c>
      <c r="U224">
        <f t="shared" si="98"/>
        <v>0</v>
      </c>
    </row>
    <row r="225" spans="15:21" x14ac:dyDescent="0.3">
      <c r="O225">
        <f t="shared" si="92"/>
        <v>0</v>
      </c>
      <c r="P225">
        <f t="shared" si="93"/>
        <v>0</v>
      </c>
      <c r="R225">
        <f t="shared" si="95"/>
        <v>0</v>
      </c>
      <c r="S225">
        <f t="shared" si="96"/>
        <v>0</v>
      </c>
      <c r="T225">
        <f t="shared" si="97"/>
        <v>0</v>
      </c>
      <c r="U225">
        <f t="shared" si="98"/>
        <v>0</v>
      </c>
    </row>
    <row r="226" spans="15:21" x14ac:dyDescent="0.3">
      <c r="O226">
        <f t="shared" si="92"/>
        <v>0</v>
      </c>
      <c r="P226">
        <f t="shared" si="93"/>
        <v>0</v>
      </c>
      <c r="R226">
        <f t="shared" si="95"/>
        <v>0</v>
      </c>
      <c r="S226">
        <f t="shared" si="96"/>
        <v>0</v>
      </c>
      <c r="T226">
        <f t="shared" si="97"/>
        <v>0</v>
      </c>
      <c r="U226">
        <f t="shared" si="98"/>
        <v>0</v>
      </c>
    </row>
    <row r="227" spans="15:21" x14ac:dyDescent="0.3">
      <c r="O227">
        <f t="shared" si="92"/>
        <v>0</v>
      </c>
      <c r="P227">
        <f t="shared" si="93"/>
        <v>0</v>
      </c>
      <c r="R227">
        <f t="shared" si="95"/>
        <v>0</v>
      </c>
      <c r="S227">
        <f t="shared" si="96"/>
        <v>0</v>
      </c>
      <c r="T227">
        <f t="shared" si="97"/>
        <v>0</v>
      </c>
      <c r="U227">
        <f t="shared" si="98"/>
        <v>0</v>
      </c>
    </row>
    <row r="228" spans="15:21" x14ac:dyDescent="0.3">
      <c r="O228">
        <f t="shared" si="92"/>
        <v>0</v>
      </c>
      <c r="P228">
        <f t="shared" si="93"/>
        <v>0</v>
      </c>
      <c r="R228">
        <f t="shared" si="95"/>
        <v>0</v>
      </c>
      <c r="S228">
        <f t="shared" si="96"/>
        <v>0</v>
      </c>
      <c r="T228">
        <f t="shared" si="97"/>
        <v>0</v>
      </c>
      <c r="U228">
        <f t="shared" si="98"/>
        <v>0</v>
      </c>
    </row>
    <row r="229" spans="15:21" x14ac:dyDescent="0.3">
      <c r="O229">
        <f t="shared" si="92"/>
        <v>0</v>
      </c>
      <c r="P229">
        <f t="shared" si="93"/>
        <v>0</v>
      </c>
      <c r="R229">
        <f t="shared" si="95"/>
        <v>0</v>
      </c>
      <c r="S229">
        <f t="shared" si="96"/>
        <v>0</v>
      </c>
      <c r="T229">
        <f t="shared" si="97"/>
        <v>0</v>
      </c>
      <c r="U229">
        <f t="shared" si="98"/>
        <v>0</v>
      </c>
    </row>
    <row r="230" spans="15:21" x14ac:dyDescent="0.3">
      <c r="O230">
        <f t="shared" si="92"/>
        <v>0</v>
      </c>
      <c r="P230">
        <f t="shared" si="93"/>
        <v>0</v>
      </c>
      <c r="R230">
        <f t="shared" si="95"/>
        <v>0</v>
      </c>
      <c r="S230">
        <f t="shared" si="96"/>
        <v>0</v>
      </c>
      <c r="T230">
        <f t="shared" si="97"/>
        <v>0</v>
      </c>
      <c r="U230">
        <f t="shared" si="98"/>
        <v>0</v>
      </c>
    </row>
    <row r="231" spans="15:21" x14ac:dyDescent="0.3">
      <c r="O231">
        <f t="shared" si="92"/>
        <v>0</v>
      </c>
      <c r="P231">
        <f t="shared" si="93"/>
        <v>0</v>
      </c>
      <c r="R231">
        <f t="shared" si="95"/>
        <v>0</v>
      </c>
      <c r="S231">
        <f t="shared" si="96"/>
        <v>0</v>
      </c>
      <c r="T231">
        <f t="shared" si="97"/>
        <v>0</v>
      </c>
      <c r="U231">
        <f t="shared" si="98"/>
        <v>0</v>
      </c>
    </row>
    <row r="232" spans="15:21" x14ac:dyDescent="0.3">
      <c r="O232">
        <f t="shared" si="92"/>
        <v>0</v>
      </c>
      <c r="P232">
        <f t="shared" si="93"/>
        <v>0</v>
      </c>
      <c r="R232">
        <f t="shared" si="95"/>
        <v>0</v>
      </c>
      <c r="S232">
        <f t="shared" si="96"/>
        <v>0</v>
      </c>
      <c r="T232">
        <f t="shared" si="97"/>
        <v>0</v>
      </c>
      <c r="U232">
        <f t="shared" si="98"/>
        <v>0</v>
      </c>
    </row>
    <row r="233" spans="15:21" x14ac:dyDescent="0.3">
      <c r="O233">
        <f t="shared" si="92"/>
        <v>0</v>
      </c>
      <c r="P233">
        <f t="shared" si="93"/>
        <v>0</v>
      </c>
      <c r="R233">
        <f t="shared" si="95"/>
        <v>0</v>
      </c>
      <c r="S233">
        <f t="shared" si="96"/>
        <v>0</v>
      </c>
      <c r="T233">
        <f t="shared" si="97"/>
        <v>0</v>
      </c>
      <c r="U233">
        <f t="shared" si="98"/>
        <v>0</v>
      </c>
    </row>
    <row r="234" spans="15:21" x14ac:dyDescent="0.3">
      <c r="O234">
        <f t="shared" si="92"/>
        <v>0</v>
      </c>
      <c r="P234">
        <f t="shared" si="93"/>
        <v>0</v>
      </c>
      <c r="R234">
        <f t="shared" si="95"/>
        <v>0</v>
      </c>
      <c r="S234">
        <f t="shared" si="96"/>
        <v>0</v>
      </c>
      <c r="T234">
        <f t="shared" si="97"/>
        <v>0</v>
      </c>
      <c r="U234">
        <f t="shared" si="98"/>
        <v>0</v>
      </c>
    </row>
    <row r="235" spans="15:21" x14ac:dyDescent="0.3">
      <c r="O235">
        <f t="shared" si="92"/>
        <v>0</v>
      </c>
      <c r="P235">
        <f t="shared" si="93"/>
        <v>0</v>
      </c>
      <c r="R235">
        <f t="shared" si="95"/>
        <v>0</v>
      </c>
      <c r="S235">
        <f t="shared" si="96"/>
        <v>0</v>
      </c>
      <c r="T235">
        <f t="shared" si="97"/>
        <v>0</v>
      </c>
      <c r="U235">
        <f t="shared" si="98"/>
        <v>0</v>
      </c>
    </row>
    <row r="236" spans="15:21" x14ac:dyDescent="0.3">
      <c r="O236">
        <f t="shared" si="92"/>
        <v>0</v>
      </c>
      <c r="P236">
        <f t="shared" si="93"/>
        <v>0</v>
      </c>
      <c r="R236">
        <f t="shared" si="95"/>
        <v>0</v>
      </c>
      <c r="S236">
        <f t="shared" si="96"/>
        <v>0</v>
      </c>
      <c r="T236">
        <f t="shared" si="97"/>
        <v>0</v>
      </c>
      <c r="U236">
        <f t="shared" si="98"/>
        <v>0</v>
      </c>
    </row>
    <row r="237" spans="15:21" x14ac:dyDescent="0.3">
      <c r="O237">
        <f t="shared" si="92"/>
        <v>0</v>
      </c>
      <c r="P237">
        <f t="shared" si="93"/>
        <v>0</v>
      </c>
      <c r="R237">
        <f t="shared" si="95"/>
        <v>0</v>
      </c>
      <c r="S237">
        <f t="shared" si="96"/>
        <v>0</v>
      </c>
      <c r="T237">
        <f t="shared" si="97"/>
        <v>0</v>
      </c>
      <c r="U237">
        <f t="shared" si="98"/>
        <v>0</v>
      </c>
    </row>
    <row r="238" spans="15:21" x14ac:dyDescent="0.3">
      <c r="O238">
        <f t="shared" si="92"/>
        <v>0</v>
      </c>
      <c r="P238">
        <f t="shared" si="93"/>
        <v>0</v>
      </c>
      <c r="R238">
        <f t="shared" si="95"/>
        <v>0</v>
      </c>
      <c r="S238">
        <f t="shared" si="96"/>
        <v>0</v>
      </c>
      <c r="T238">
        <f t="shared" si="97"/>
        <v>0</v>
      </c>
      <c r="U238">
        <f t="shared" si="98"/>
        <v>0</v>
      </c>
    </row>
    <row r="239" spans="15:21" x14ac:dyDescent="0.3">
      <c r="O239">
        <f t="shared" si="92"/>
        <v>0</v>
      </c>
      <c r="P239">
        <f t="shared" si="93"/>
        <v>0</v>
      </c>
      <c r="R239">
        <f t="shared" si="95"/>
        <v>0</v>
      </c>
      <c r="S239">
        <f t="shared" si="96"/>
        <v>0</v>
      </c>
      <c r="T239">
        <f t="shared" si="97"/>
        <v>0</v>
      </c>
      <c r="U239">
        <f t="shared" si="98"/>
        <v>0</v>
      </c>
    </row>
    <row r="240" spans="15:21" x14ac:dyDescent="0.3">
      <c r="O240">
        <f t="shared" si="92"/>
        <v>0</v>
      </c>
      <c r="P240">
        <f t="shared" si="93"/>
        <v>0</v>
      </c>
      <c r="R240">
        <f t="shared" si="95"/>
        <v>0</v>
      </c>
      <c r="S240">
        <f t="shared" si="96"/>
        <v>0</v>
      </c>
      <c r="T240">
        <f t="shared" si="97"/>
        <v>0</v>
      </c>
      <c r="U240">
        <f t="shared" si="98"/>
        <v>0</v>
      </c>
    </row>
    <row r="241" spans="15:21" x14ac:dyDescent="0.3">
      <c r="O241">
        <f t="shared" si="92"/>
        <v>0</v>
      </c>
      <c r="P241">
        <f t="shared" si="93"/>
        <v>0</v>
      </c>
      <c r="R241">
        <f t="shared" si="95"/>
        <v>0</v>
      </c>
      <c r="S241">
        <f t="shared" si="96"/>
        <v>0</v>
      </c>
      <c r="T241">
        <f t="shared" si="97"/>
        <v>0</v>
      </c>
      <c r="U241">
        <f t="shared" si="98"/>
        <v>0</v>
      </c>
    </row>
    <row r="242" spans="15:21" x14ac:dyDescent="0.3">
      <c r="O242">
        <f t="shared" si="92"/>
        <v>0</v>
      </c>
      <c r="P242">
        <f t="shared" si="93"/>
        <v>0</v>
      </c>
      <c r="R242">
        <f t="shared" si="95"/>
        <v>0</v>
      </c>
      <c r="S242">
        <f t="shared" si="96"/>
        <v>0</v>
      </c>
      <c r="T242">
        <f t="shared" si="97"/>
        <v>0</v>
      </c>
      <c r="U242">
        <f t="shared" si="98"/>
        <v>0</v>
      </c>
    </row>
    <row r="243" spans="15:21" x14ac:dyDescent="0.3">
      <c r="O243">
        <f t="shared" si="92"/>
        <v>0</v>
      </c>
      <c r="P243">
        <f t="shared" si="93"/>
        <v>0</v>
      </c>
      <c r="R243">
        <f t="shared" si="95"/>
        <v>0</v>
      </c>
      <c r="S243">
        <f t="shared" si="96"/>
        <v>0</v>
      </c>
      <c r="T243">
        <f t="shared" si="97"/>
        <v>0</v>
      </c>
      <c r="U243">
        <f t="shared" si="98"/>
        <v>0</v>
      </c>
    </row>
    <row r="244" spans="15:21" x14ac:dyDescent="0.3">
      <c r="O244">
        <f t="shared" si="92"/>
        <v>0</v>
      </c>
      <c r="P244">
        <f t="shared" si="93"/>
        <v>0</v>
      </c>
      <c r="R244">
        <f t="shared" si="95"/>
        <v>0</v>
      </c>
      <c r="S244">
        <f t="shared" si="96"/>
        <v>0</v>
      </c>
      <c r="T244">
        <f t="shared" si="97"/>
        <v>0</v>
      </c>
      <c r="U244">
        <f t="shared" si="98"/>
        <v>0</v>
      </c>
    </row>
    <row r="245" spans="15:21" x14ac:dyDescent="0.3">
      <c r="O245">
        <f t="shared" si="92"/>
        <v>0</v>
      </c>
      <c r="P245">
        <f t="shared" si="93"/>
        <v>0</v>
      </c>
      <c r="R245">
        <f t="shared" si="95"/>
        <v>0</v>
      </c>
      <c r="S245">
        <f t="shared" si="96"/>
        <v>0</v>
      </c>
      <c r="T245">
        <f t="shared" si="97"/>
        <v>0</v>
      </c>
      <c r="U245">
        <f t="shared" si="98"/>
        <v>0</v>
      </c>
    </row>
    <row r="246" spans="15:21" x14ac:dyDescent="0.3">
      <c r="O246">
        <f t="shared" si="92"/>
        <v>0</v>
      </c>
      <c r="P246">
        <f t="shared" si="93"/>
        <v>0</v>
      </c>
      <c r="R246">
        <f t="shared" si="95"/>
        <v>0</v>
      </c>
      <c r="S246">
        <f t="shared" si="96"/>
        <v>0</v>
      </c>
      <c r="T246">
        <f t="shared" si="97"/>
        <v>0</v>
      </c>
      <c r="U246">
        <f t="shared" si="98"/>
        <v>0</v>
      </c>
    </row>
    <row r="247" spans="15:21" x14ac:dyDescent="0.3">
      <c r="O247">
        <f t="shared" si="92"/>
        <v>0</v>
      </c>
      <c r="P247">
        <f t="shared" si="93"/>
        <v>0</v>
      </c>
      <c r="R247">
        <f t="shared" si="95"/>
        <v>0</v>
      </c>
      <c r="S247">
        <f t="shared" si="96"/>
        <v>0</v>
      </c>
      <c r="T247">
        <f t="shared" si="97"/>
        <v>0</v>
      </c>
      <c r="U247">
        <f t="shared" si="98"/>
        <v>0</v>
      </c>
    </row>
    <row r="248" spans="15:21" x14ac:dyDescent="0.3">
      <c r="O248">
        <f t="shared" si="92"/>
        <v>0</v>
      </c>
      <c r="P248">
        <f t="shared" si="93"/>
        <v>0</v>
      </c>
      <c r="R248">
        <f t="shared" si="95"/>
        <v>0</v>
      </c>
      <c r="S248">
        <f t="shared" si="96"/>
        <v>0</v>
      </c>
      <c r="T248">
        <f t="shared" si="97"/>
        <v>0</v>
      </c>
      <c r="U248">
        <f t="shared" si="98"/>
        <v>0</v>
      </c>
    </row>
    <row r="249" spans="15:21" x14ac:dyDescent="0.3">
      <c r="O249">
        <f t="shared" si="92"/>
        <v>0</v>
      </c>
      <c r="P249">
        <f t="shared" si="93"/>
        <v>0</v>
      </c>
      <c r="R249">
        <f t="shared" si="95"/>
        <v>0</v>
      </c>
      <c r="S249">
        <f t="shared" si="96"/>
        <v>0</v>
      </c>
      <c r="T249">
        <f t="shared" si="97"/>
        <v>0</v>
      </c>
      <c r="U249">
        <f t="shared" si="98"/>
        <v>0</v>
      </c>
    </row>
    <row r="250" spans="15:21" x14ac:dyDescent="0.3">
      <c r="O250">
        <f t="shared" si="92"/>
        <v>0</v>
      </c>
      <c r="P250">
        <f t="shared" si="93"/>
        <v>0</v>
      </c>
      <c r="R250">
        <f t="shared" si="95"/>
        <v>0</v>
      </c>
      <c r="S250">
        <f t="shared" si="96"/>
        <v>0</v>
      </c>
      <c r="T250">
        <f t="shared" si="97"/>
        <v>0</v>
      </c>
      <c r="U250">
        <f t="shared" si="98"/>
        <v>0</v>
      </c>
    </row>
    <row r="251" spans="15:21" x14ac:dyDescent="0.3">
      <c r="O251">
        <f t="shared" si="92"/>
        <v>0</v>
      </c>
      <c r="P251">
        <f t="shared" si="93"/>
        <v>0</v>
      </c>
      <c r="R251">
        <f t="shared" si="95"/>
        <v>0</v>
      </c>
      <c r="S251">
        <f t="shared" si="96"/>
        <v>0</v>
      </c>
      <c r="T251">
        <f t="shared" si="97"/>
        <v>0</v>
      </c>
      <c r="U251">
        <f t="shared" si="98"/>
        <v>0</v>
      </c>
    </row>
    <row r="252" spans="15:21" x14ac:dyDescent="0.3">
      <c r="O252">
        <f t="shared" si="92"/>
        <v>0</v>
      </c>
      <c r="P252">
        <f t="shared" si="93"/>
        <v>0</v>
      </c>
      <c r="R252">
        <f t="shared" si="95"/>
        <v>0</v>
      </c>
      <c r="S252">
        <f t="shared" si="96"/>
        <v>0</v>
      </c>
      <c r="T252">
        <f t="shared" si="97"/>
        <v>0</v>
      </c>
      <c r="U252">
        <f t="shared" si="98"/>
        <v>0</v>
      </c>
    </row>
    <row r="253" spans="15:21" x14ac:dyDescent="0.3">
      <c r="O253">
        <f t="shared" si="92"/>
        <v>0</v>
      </c>
      <c r="P253">
        <f t="shared" si="93"/>
        <v>0</v>
      </c>
      <c r="R253">
        <f t="shared" si="95"/>
        <v>0</v>
      </c>
      <c r="S253">
        <f t="shared" si="96"/>
        <v>0</v>
      </c>
      <c r="T253">
        <f t="shared" si="97"/>
        <v>0</v>
      </c>
      <c r="U253">
        <f t="shared" si="98"/>
        <v>0</v>
      </c>
    </row>
    <row r="254" spans="15:21" x14ac:dyDescent="0.3">
      <c r="O254">
        <f t="shared" si="92"/>
        <v>0</v>
      </c>
      <c r="P254">
        <f t="shared" si="93"/>
        <v>0</v>
      </c>
      <c r="R254">
        <f t="shared" si="95"/>
        <v>0</v>
      </c>
      <c r="S254">
        <f t="shared" si="96"/>
        <v>0</v>
      </c>
      <c r="T254">
        <f t="shared" si="97"/>
        <v>0</v>
      </c>
      <c r="U254">
        <f t="shared" si="98"/>
        <v>0</v>
      </c>
    </row>
    <row r="255" spans="15:21" x14ac:dyDescent="0.3">
      <c r="O255">
        <f t="shared" si="92"/>
        <v>0</v>
      </c>
      <c r="P255">
        <f t="shared" si="93"/>
        <v>0</v>
      </c>
      <c r="R255">
        <f t="shared" si="95"/>
        <v>0</v>
      </c>
      <c r="S255">
        <f t="shared" si="96"/>
        <v>0</v>
      </c>
      <c r="T255">
        <f t="shared" si="97"/>
        <v>0</v>
      </c>
      <c r="U255">
        <f t="shared" si="98"/>
        <v>0</v>
      </c>
    </row>
    <row r="256" spans="15:21" x14ac:dyDescent="0.3">
      <c r="O256">
        <f t="shared" si="92"/>
        <v>0</v>
      </c>
      <c r="P256">
        <f t="shared" si="93"/>
        <v>0</v>
      </c>
      <c r="R256">
        <f t="shared" si="95"/>
        <v>0</v>
      </c>
      <c r="S256">
        <f t="shared" si="96"/>
        <v>0</v>
      </c>
      <c r="T256">
        <f t="shared" si="97"/>
        <v>0</v>
      </c>
      <c r="U256">
        <f t="shared" si="98"/>
        <v>0</v>
      </c>
    </row>
    <row r="257" spans="15:21" x14ac:dyDescent="0.3">
      <c r="O257">
        <f t="shared" si="92"/>
        <v>0</v>
      </c>
      <c r="P257">
        <f t="shared" si="93"/>
        <v>0</v>
      </c>
      <c r="R257">
        <f t="shared" si="95"/>
        <v>0</v>
      </c>
      <c r="S257">
        <f t="shared" si="96"/>
        <v>0</v>
      </c>
      <c r="T257">
        <f t="shared" si="97"/>
        <v>0</v>
      </c>
      <c r="U257">
        <f t="shared" si="98"/>
        <v>0</v>
      </c>
    </row>
    <row r="258" spans="15:21" x14ac:dyDescent="0.3">
      <c r="O258">
        <f t="shared" ref="O258:O321" si="102">SUM(N258:N262)</f>
        <v>0</v>
      </c>
      <c r="P258">
        <f t="shared" ref="P258:P321" si="103">SUM(N258:N267)</f>
        <v>0</v>
      </c>
      <c r="R258">
        <f t="shared" ref="R258:R321" si="104">SUM(E258:E267)/10</f>
        <v>0</v>
      </c>
      <c r="S258">
        <f t="shared" ref="S258:S321" si="105">R258-R259</f>
        <v>0</v>
      </c>
      <c r="T258">
        <f t="shared" ref="T258:T321" si="106">SUM(E258:E307)/50</f>
        <v>0</v>
      </c>
      <c r="U258">
        <f t="shared" ref="U258:U321" si="107">T258-T259</f>
        <v>0</v>
      </c>
    </row>
    <row r="259" spans="15:21" x14ac:dyDescent="0.3">
      <c r="O259">
        <f t="shared" si="102"/>
        <v>0</v>
      </c>
      <c r="P259">
        <f t="shared" si="103"/>
        <v>0</v>
      </c>
      <c r="R259">
        <f t="shared" si="104"/>
        <v>0</v>
      </c>
      <c r="S259">
        <f t="shared" si="105"/>
        <v>0</v>
      </c>
      <c r="T259">
        <f t="shared" si="106"/>
        <v>0</v>
      </c>
      <c r="U259">
        <f t="shared" si="107"/>
        <v>0</v>
      </c>
    </row>
    <row r="260" spans="15:21" x14ac:dyDescent="0.3">
      <c r="O260">
        <f t="shared" si="102"/>
        <v>0</v>
      </c>
      <c r="P260">
        <f t="shared" si="103"/>
        <v>0</v>
      </c>
      <c r="R260">
        <f t="shared" si="104"/>
        <v>0</v>
      </c>
      <c r="S260">
        <f t="shared" si="105"/>
        <v>0</v>
      </c>
      <c r="T260">
        <f t="shared" si="106"/>
        <v>0</v>
      </c>
      <c r="U260">
        <f t="shared" si="107"/>
        <v>0</v>
      </c>
    </row>
    <row r="261" spans="15:21" x14ac:dyDescent="0.3">
      <c r="O261">
        <f t="shared" si="102"/>
        <v>0</v>
      </c>
      <c r="P261">
        <f t="shared" si="103"/>
        <v>0</v>
      </c>
      <c r="R261">
        <f t="shared" si="104"/>
        <v>0</v>
      </c>
      <c r="S261">
        <f t="shared" si="105"/>
        <v>0</v>
      </c>
      <c r="T261">
        <f t="shared" si="106"/>
        <v>0</v>
      </c>
      <c r="U261">
        <f t="shared" si="107"/>
        <v>0</v>
      </c>
    </row>
    <row r="262" spans="15:21" x14ac:dyDescent="0.3">
      <c r="O262">
        <f t="shared" si="102"/>
        <v>0</v>
      </c>
      <c r="P262">
        <f t="shared" si="103"/>
        <v>0</v>
      </c>
      <c r="R262">
        <f t="shared" si="104"/>
        <v>0</v>
      </c>
      <c r="S262">
        <f t="shared" si="105"/>
        <v>0</v>
      </c>
      <c r="T262">
        <f t="shared" si="106"/>
        <v>0</v>
      </c>
      <c r="U262">
        <f t="shared" si="107"/>
        <v>0</v>
      </c>
    </row>
    <row r="263" spans="15:21" x14ac:dyDescent="0.3">
      <c r="O263">
        <f t="shared" si="102"/>
        <v>0</v>
      </c>
      <c r="P263">
        <f t="shared" si="103"/>
        <v>0</v>
      </c>
      <c r="R263">
        <f t="shared" si="104"/>
        <v>0</v>
      </c>
      <c r="S263">
        <f t="shared" si="105"/>
        <v>0</v>
      </c>
      <c r="T263">
        <f t="shared" si="106"/>
        <v>0</v>
      </c>
      <c r="U263">
        <f t="shared" si="107"/>
        <v>0</v>
      </c>
    </row>
    <row r="264" spans="15:21" x14ac:dyDescent="0.3">
      <c r="O264">
        <f t="shared" si="102"/>
        <v>0</v>
      </c>
      <c r="P264">
        <f t="shared" si="103"/>
        <v>0</v>
      </c>
      <c r="R264">
        <f t="shared" si="104"/>
        <v>0</v>
      </c>
      <c r="S264">
        <f t="shared" si="105"/>
        <v>0</v>
      </c>
      <c r="T264">
        <f t="shared" si="106"/>
        <v>0</v>
      </c>
      <c r="U264">
        <f t="shared" si="107"/>
        <v>0</v>
      </c>
    </row>
    <row r="265" spans="15:21" x14ac:dyDescent="0.3">
      <c r="O265">
        <f t="shared" si="102"/>
        <v>0</v>
      </c>
      <c r="P265">
        <f t="shared" si="103"/>
        <v>0</v>
      </c>
      <c r="R265">
        <f t="shared" si="104"/>
        <v>0</v>
      </c>
      <c r="S265">
        <f t="shared" si="105"/>
        <v>0</v>
      </c>
      <c r="T265">
        <f t="shared" si="106"/>
        <v>0</v>
      </c>
      <c r="U265">
        <f t="shared" si="107"/>
        <v>0</v>
      </c>
    </row>
    <row r="266" spans="15:21" x14ac:dyDescent="0.3">
      <c r="O266">
        <f t="shared" si="102"/>
        <v>0</v>
      </c>
      <c r="P266">
        <f t="shared" si="103"/>
        <v>0</v>
      </c>
      <c r="R266">
        <f t="shared" si="104"/>
        <v>0</v>
      </c>
      <c r="S266">
        <f t="shared" si="105"/>
        <v>0</v>
      </c>
      <c r="T266">
        <f t="shared" si="106"/>
        <v>0</v>
      </c>
      <c r="U266">
        <f t="shared" si="107"/>
        <v>0</v>
      </c>
    </row>
    <row r="267" spans="15:21" x14ac:dyDescent="0.3">
      <c r="O267">
        <f t="shared" si="102"/>
        <v>0</v>
      </c>
      <c r="P267">
        <f t="shared" si="103"/>
        <v>0</v>
      </c>
      <c r="R267">
        <f t="shared" si="104"/>
        <v>0</v>
      </c>
      <c r="S267">
        <f t="shared" si="105"/>
        <v>0</v>
      </c>
      <c r="T267">
        <f t="shared" si="106"/>
        <v>0</v>
      </c>
      <c r="U267">
        <f t="shared" si="107"/>
        <v>0</v>
      </c>
    </row>
    <row r="268" spans="15:21" x14ac:dyDescent="0.3">
      <c r="O268">
        <f t="shared" si="102"/>
        <v>0</v>
      </c>
      <c r="P268">
        <f t="shared" si="103"/>
        <v>0</v>
      </c>
      <c r="R268">
        <f t="shared" si="104"/>
        <v>0</v>
      </c>
      <c r="S268">
        <f t="shared" si="105"/>
        <v>0</v>
      </c>
      <c r="T268">
        <f t="shared" si="106"/>
        <v>0</v>
      </c>
      <c r="U268">
        <f t="shared" si="107"/>
        <v>0</v>
      </c>
    </row>
    <row r="269" spans="15:21" x14ac:dyDescent="0.3">
      <c r="O269">
        <f t="shared" si="102"/>
        <v>0</v>
      </c>
      <c r="P269">
        <f t="shared" si="103"/>
        <v>0</v>
      </c>
      <c r="R269">
        <f t="shared" si="104"/>
        <v>0</v>
      </c>
      <c r="S269">
        <f t="shared" si="105"/>
        <v>0</v>
      </c>
      <c r="T269">
        <f t="shared" si="106"/>
        <v>0</v>
      </c>
      <c r="U269">
        <f t="shared" si="107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69"/>
  <sheetViews>
    <sheetView workbookViewId="0">
      <selection activeCell="H1" sqref="H1:Y1048576"/>
    </sheetView>
  </sheetViews>
  <sheetFormatPr defaultRowHeight="14.4" x14ac:dyDescent="0.3"/>
  <cols>
    <col min="8" max="8" width="10.88671875" bestFit="1" customWidth="1"/>
    <col min="10" max="10" width="9.88671875" bestFit="1" customWidth="1"/>
    <col min="14" max="14" width="12.109375" customWidth="1"/>
    <col min="23" max="23" width="11.88671875" customWidth="1"/>
  </cols>
  <sheetData>
    <row r="1" spans="1:25" x14ac:dyDescent="0.3">
      <c r="A1" t="s">
        <v>72</v>
      </c>
      <c r="B1">
        <v>1499.7</v>
      </c>
      <c r="C1">
        <v>1501.9</v>
      </c>
      <c r="D1">
        <v>1499.7</v>
      </c>
      <c r="E1">
        <v>1501.9</v>
      </c>
      <c r="F1">
        <v>40260</v>
      </c>
      <c r="G1">
        <v>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</row>
    <row r="2" spans="1:25" x14ac:dyDescent="0.3">
      <c r="A2" t="s">
        <v>73</v>
      </c>
      <c r="B2">
        <v>1499.5</v>
      </c>
      <c r="C2">
        <v>1499.9</v>
      </c>
      <c r="D2">
        <v>1499</v>
      </c>
      <c r="E2">
        <v>1499.7</v>
      </c>
      <c r="F2">
        <v>11067</v>
      </c>
      <c r="G2">
        <v>0</v>
      </c>
      <c r="H2">
        <f t="shared" ref="H2:H65" si="0">E3</f>
        <v>1499.4</v>
      </c>
      <c r="I2">
        <f t="shared" ref="I2:I65" si="1">MAX(C2,H2)</f>
        <v>1499.9</v>
      </c>
      <c r="J2">
        <f t="shared" ref="J2:J65" si="2">MIN(D2,H2)</f>
        <v>1499</v>
      </c>
      <c r="K2">
        <f t="shared" ref="K2:K65" si="3">I2-J2</f>
        <v>0.90000000000009095</v>
      </c>
      <c r="L2">
        <f t="shared" ref="L2:L65" si="4">B2-E3</f>
        <v>9.9999999999909051E-2</v>
      </c>
      <c r="M2" t="str">
        <f t="shared" ref="M2:M65" si="5">IF(E2&gt;E3,"UP","DOWN")</f>
        <v>UP</v>
      </c>
      <c r="N2">
        <f t="shared" ref="N2:N65" si="6">E2-E3</f>
        <v>0.29999999999995453</v>
      </c>
      <c r="O2">
        <f t="shared" ref="O2:O65" si="7">SUM(N2:N6)</f>
        <v>0.5</v>
      </c>
      <c r="P2">
        <f t="shared" ref="P2:P65" si="8">SUM(N2:N11)</f>
        <v>3.6000000000001364</v>
      </c>
      <c r="Q2">
        <f t="shared" ref="Q2:Q65" si="9">SUM(N2:N51)</f>
        <v>19.100000000000136</v>
      </c>
      <c r="R2">
        <f t="shared" ref="R2:R65" si="10">SUM(E2:E11)/10</f>
        <v>1498.5</v>
      </c>
      <c r="S2">
        <f t="shared" ref="S2:S65" si="11">R2-R3</f>
        <v>0.36000000000012733</v>
      </c>
      <c r="T2">
        <f t="shared" ref="T2:T65" si="12">SUM(E2:E51)/50</f>
        <v>1491.69</v>
      </c>
      <c r="U2">
        <f t="shared" ref="U2:U65" si="13">T2-T3</f>
        <v>0.38199999999983447</v>
      </c>
      <c r="V2">
        <f t="shared" ref="V2:V65" si="14">SUM(E2:E101)/100</f>
        <v>1485.8649999999998</v>
      </c>
      <c r="W2">
        <f t="shared" ref="W2:W65" si="15">V2-V3</f>
        <v>0.18699999999989814</v>
      </c>
      <c r="X2">
        <f t="shared" ref="X2:X65" si="16">SUM(E2:E201)/200</f>
        <v>1482.2549999999997</v>
      </c>
      <c r="Y2">
        <f t="shared" ref="Y2:Y39" si="17">X2-X3</f>
        <v>0.11299999999982901</v>
      </c>
    </row>
    <row r="3" spans="1:25" x14ac:dyDescent="0.3">
      <c r="A3" t="s">
        <v>74</v>
      </c>
      <c r="B3">
        <v>1499.3</v>
      </c>
      <c r="C3">
        <v>1499.7</v>
      </c>
      <c r="D3">
        <v>1499</v>
      </c>
      <c r="E3">
        <v>1499.4</v>
      </c>
      <c r="F3">
        <v>9497</v>
      </c>
      <c r="G3">
        <v>0</v>
      </c>
      <c r="H3">
        <f t="shared" si="0"/>
        <v>1499.3</v>
      </c>
      <c r="I3">
        <f t="shared" si="1"/>
        <v>1499.7</v>
      </c>
      <c r="J3">
        <f t="shared" si="2"/>
        <v>1499</v>
      </c>
      <c r="K3">
        <f t="shared" si="3"/>
        <v>0.70000000000004547</v>
      </c>
      <c r="L3">
        <f t="shared" si="4"/>
        <v>0</v>
      </c>
      <c r="M3" t="str">
        <f t="shared" si="5"/>
        <v>UP</v>
      </c>
      <c r="N3">
        <f t="shared" si="6"/>
        <v>0.10000000000013642</v>
      </c>
      <c r="O3">
        <f t="shared" si="7"/>
        <v>1</v>
      </c>
      <c r="P3">
        <f t="shared" si="8"/>
        <v>3.3000000000001819</v>
      </c>
      <c r="Q3">
        <f t="shared" si="9"/>
        <v>18.700000000000045</v>
      </c>
      <c r="R3">
        <f t="shared" si="10"/>
        <v>1498.1399999999999</v>
      </c>
      <c r="S3">
        <f t="shared" si="11"/>
        <v>0.32999999999992724</v>
      </c>
      <c r="T3">
        <f t="shared" si="12"/>
        <v>1491.3080000000002</v>
      </c>
      <c r="U3">
        <f t="shared" si="13"/>
        <v>0.37400000000002365</v>
      </c>
      <c r="V3">
        <f t="shared" si="14"/>
        <v>1485.6779999999999</v>
      </c>
      <c r="W3">
        <f t="shared" si="15"/>
        <v>0.19399999999995998</v>
      </c>
      <c r="X3">
        <f t="shared" si="16"/>
        <v>1482.1419999999998</v>
      </c>
      <c r="Y3">
        <f t="shared" si="17"/>
        <v>0.11450000000013461</v>
      </c>
    </row>
    <row r="4" spans="1:25" x14ac:dyDescent="0.3">
      <c r="A4" t="s">
        <v>75</v>
      </c>
      <c r="B4">
        <v>1499</v>
      </c>
      <c r="C4">
        <v>1499.8</v>
      </c>
      <c r="D4">
        <v>1499</v>
      </c>
      <c r="E4">
        <v>1499.3</v>
      </c>
      <c r="F4">
        <v>31875</v>
      </c>
      <c r="G4">
        <v>0</v>
      </c>
      <c r="H4">
        <f t="shared" si="0"/>
        <v>1499</v>
      </c>
      <c r="I4">
        <f t="shared" si="1"/>
        <v>1499.8</v>
      </c>
      <c r="J4">
        <f t="shared" si="2"/>
        <v>1499</v>
      </c>
      <c r="K4">
        <f t="shared" si="3"/>
        <v>0.79999999999995453</v>
      </c>
      <c r="L4">
        <f t="shared" si="4"/>
        <v>0</v>
      </c>
      <c r="M4" t="str">
        <f t="shared" si="5"/>
        <v>UP</v>
      </c>
      <c r="N4">
        <f t="shared" si="6"/>
        <v>0.29999999999995453</v>
      </c>
      <c r="O4">
        <f t="shared" si="7"/>
        <v>1.7000000000000455</v>
      </c>
      <c r="P4">
        <f t="shared" si="8"/>
        <v>1.7999999999999545</v>
      </c>
      <c r="Q4">
        <f t="shared" si="9"/>
        <v>18</v>
      </c>
      <c r="R4">
        <f t="shared" si="10"/>
        <v>1497.81</v>
      </c>
      <c r="S4">
        <f t="shared" si="11"/>
        <v>0.18000000000006366</v>
      </c>
      <c r="T4">
        <f t="shared" si="12"/>
        <v>1490.9340000000002</v>
      </c>
      <c r="U4">
        <f t="shared" si="13"/>
        <v>0.35999999999989996</v>
      </c>
      <c r="V4">
        <f t="shared" si="14"/>
        <v>1485.4839999999999</v>
      </c>
      <c r="W4">
        <f t="shared" si="15"/>
        <v>0.1850000000001728</v>
      </c>
      <c r="X4">
        <f t="shared" si="16"/>
        <v>1482.0274999999997</v>
      </c>
      <c r="Y4">
        <f t="shared" si="17"/>
        <v>0.11149999999997817</v>
      </c>
    </row>
    <row r="5" spans="1:25" x14ac:dyDescent="0.3">
      <c r="A5" t="s">
        <v>76</v>
      </c>
      <c r="B5">
        <v>1499.7</v>
      </c>
      <c r="C5">
        <v>1499.8</v>
      </c>
      <c r="D5">
        <v>1498.4</v>
      </c>
      <c r="E5">
        <v>1499</v>
      </c>
      <c r="F5">
        <v>14127</v>
      </c>
      <c r="G5">
        <v>0</v>
      </c>
      <c r="H5">
        <f t="shared" si="0"/>
        <v>1499.7</v>
      </c>
      <c r="I5">
        <f t="shared" si="1"/>
        <v>1499.8</v>
      </c>
      <c r="J5">
        <f t="shared" si="2"/>
        <v>1498.4</v>
      </c>
      <c r="K5">
        <f t="shared" si="3"/>
        <v>1.3999999999998636</v>
      </c>
      <c r="L5">
        <f t="shared" si="4"/>
        <v>0</v>
      </c>
      <c r="M5" t="str">
        <f t="shared" si="5"/>
        <v>DOWN</v>
      </c>
      <c r="N5">
        <f t="shared" si="6"/>
        <v>-0.70000000000004547</v>
      </c>
      <c r="O5">
        <f t="shared" si="7"/>
        <v>2.2000000000000455</v>
      </c>
      <c r="P5">
        <f t="shared" si="8"/>
        <v>1.2000000000000455</v>
      </c>
      <c r="Q5">
        <f t="shared" si="9"/>
        <v>18.099999999999909</v>
      </c>
      <c r="R5">
        <f t="shared" si="10"/>
        <v>1497.6299999999999</v>
      </c>
      <c r="S5">
        <f t="shared" si="11"/>
        <v>0.11999999999989086</v>
      </c>
      <c r="T5">
        <f t="shared" si="12"/>
        <v>1490.5740000000003</v>
      </c>
      <c r="U5">
        <f t="shared" si="13"/>
        <v>0.36200000000008004</v>
      </c>
      <c r="V5">
        <f t="shared" si="14"/>
        <v>1485.2989999999998</v>
      </c>
      <c r="W5">
        <f t="shared" si="15"/>
        <v>0.18200000000001637</v>
      </c>
      <c r="X5">
        <f t="shared" si="16"/>
        <v>1481.9159999999997</v>
      </c>
      <c r="Y5">
        <f t="shared" si="17"/>
        <v>0.10649999999986903</v>
      </c>
    </row>
    <row r="6" spans="1:25" x14ac:dyDescent="0.3">
      <c r="A6" t="s">
        <v>77</v>
      </c>
      <c r="B6">
        <v>1499.2</v>
      </c>
      <c r="C6">
        <v>1499.8</v>
      </c>
      <c r="D6">
        <v>1498.2</v>
      </c>
      <c r="E6">
        <v>1499.7</v>
      </c>
      <c r="F6">
        <v>10893</v>
      </c>
      <c r="G6">
        <v>0</v>
      </c>
      <c r="H6">
        <f t="shared" si="0"/>
        <v>1499.2</v>
      </c>
      <c r="I6">
        <f t="shared" si="1"/>
        <v>1499.8</v>
      </c>
      <c r="J6">
        <f t="shared" si="2"/>
        <v>1498.2</v>
      </c>
      <c r="K6">
        <f t="shared" si="3"/>
        <v>1.5999999999999091</v>
      </c>
      <c r="L6">
        <f t="shared" si="4"/>
        <v>0</v>
      </c>
      <c r="M6" t="str">
        <f t="shared" si="5"/>
        <v>UP</v>
      </c>
      <c r="N6">
        <f t="shared" si="6"/>
        <v>0.5</v>
      </c>
      <c r="O6">
        <f t="shared" si="7"/>
        <v>3.7999999999999545</v>
      </c>
      <c r="P6">
        <f t="shared" si="8"/>
        <v>0.90000000000009095</v>
      </c>
      <c r="Q6">
        <f t="shared" si="9"/>
        <v>19.600000000000136</v>
      </c>
      <c r="R6">
        <f t="shared" si="10"/>
        <v>1497.51</v>
      </c>
      <c r="S6">
        <f t="shared" si="11"/>
        <v>8.9999999999918145E-2</v>
      </c>
      <c r="T6">
        <f t="shared" si="12"/>
        <v>1490.2120000000002</v>
      </c>
      <c r="U6">
        <f t="shared" si="13"/>
        <v>0.39199999999982538</v>
      </c>
      <c r="V6">
        <f t="shared" si="14"/>
        <v>1485.1169999999997</v>
      </c>
      <c r="W6">
        <f t="shared" si="15"/>
        <v>0.18499999999971806</v>
      </c>
      <c r="X6">
        <f t="shared" si="16"/>
        <v>1481.8094999999998</v>
      </c>
      <c r="Y6">
        <f t="shared" si="17"/>
        <v>0.10750000000007276</v>
      </c>
    </row>
    <row r="7" spans="1:25" x14ac:dyDescent="0.3">
      <c r="A7" t="s">
        <v>78</v>
      </c>
      <c r="B7">
        <v>1498.4</v>
      </c>
      <c r="C7">
        <v>1499.4</v>
      </c>
      <c r="D7">
        <v>1498.1</v>
      </c>
      <c r="E7">
        <v>1499.2</v>
      </c>
      <c r="F7">
        <v>11569</v>
      </c>
      <c r="G7">
        <v>0</v>
      </c>
      <c r="H7">
        <f t="shared" si="0"/>
        <v>1498.4</v>
      </c>
      <c r="I7">
        <f t="shared" si="1"/>
        <v>1499.4</v>
      </c>
      <c r="J7">
        <f t="shared" si="2"/>
        <v>1498.1</v>
      </c>
      <c r="K7">
        <f t="shared" si="3"/>
        <v>1.3000000000001819</v>
      </c>
      <c r="L7">
        <f t="shared" si="4"/>
        <v>0</v>
      </c>
      <c r="M7" t="str">
        <f t="shared" si="5"/>
        <v>UP</v>
      </c>
      <c r="N7">
        <f t="shared" si="6"/>
        <v>0.79999999999995453</v>
      </c>
      <c r="O7">
        <f t="shared" si="7"/>
        <v>3.1000000000001364</v>
      </c>
      <c r="P7">
        <f t="shared" si="8"/>
        <v>1</v>
      </c>
      <c r="Q7">
        <f t="shared" si="9"/>
        <v>18.400000000000091</v>
      </c>
      <c r="R7">
        <f t="shared" si="10"/>
        <v>1497.42</v>
      </c>
      <c r="S7">
        <f t="shared" si="11"/>
        <v>9.9999999999909051E-2</v>
      </c>
      <c r="T7">
        <f t="shared" si="12"/>
        <v>1489.8200000000004</v>
      </c>
      <c r="U7">
        <f t="shared" si="13"/>
        <v>0.36799999999993815</v>
      </c>
      <c r="V7">
        <f t="shared" si="14"/>
        <v>1484.932</v>
      </c>
      <c r="W7">
        <f t="shared" si="15"/>
        <v>0.17300000000000182</v>
      </c>
      <c r="X7">
        <f t="shared" si="16"/>
        <v>1481.7019999999998</v>
      </c>
      <c r="Y7">
        <f t="shared" si="17"/>
        <v>0.10800000000017462</v>
      </c>
    </row>
    <row r="8" spans="1:25" x14ac:dyDescent="0.3">
      <c r="A8" t="s">
        <v>79</v>
      </c>
      <c r="B8">
        <v>1497.6</v>
      </c>
      <c r="C8">
        <v>1498.5</v>
      </c>
      <c r="D8">
        <v>1497</v>
      </c>
      <c r="E8">
        <v>1498.4</v>
      </c>
      <c r="F8">
        <v>13742</v>
      </c>
      <c r="G8">
        <v>0</v>
      </c>
      <c r="H8">
        <f t="shared" si="0"/>
        <v>1497.6</v>
      </c>
      <c r="I8">
        <f t="shared" si="1"/>
        <v>1498.5</v>
      </c>
      <c r="J8">
        <f t="shared" si="2"/>
        <v>1497</v>
      </c>
      <c r="K8">
        <f t="shared" si="3"/>
        <v>1.5</v>
      </c>
      <c r="L8">
        <f t="shared" si="4"/>
        <v>0</v>
      </c>
      <c r="M8" t="str">
        <f t="shared" si="5"/>
        <v>UP</v>
      </c>
      <c r="N8">
        <f t="shared" si="6"/>
        <v>0.8000000000001819</v>
      </c>
      <c r="O8">
        <f t="shared" si="7"/>
        <v>2.3000000000001819</v>
      </c>
      <c r="P8">
        <f t="shared" si="8"/>
        <v>-0.39999999999986358</v>
      </c>
      <c r="Q8">
        <f t="shared" si="9"/>
        <v>18.100000000000136</v>
      </c>
      <c r="R8">
        <f t="shared" si="10"/>
        <v>1497.3200000000002</v>
      </c>
      <c r="S8">
        <f t="shared" si="11"/>
        <v>-3.9999999999736247E-2</v>
      </c>
      <c r="T8">
        <f t="shared" si="12"/>
        <v>1489.4520000000005</v>
      </c>
      <c r="U8">
        <f t="shared" si="13"/>
        <v>0.36200000000008004</v>
      </c>
      <c r="V8">
        <f t="shared" si="14"/>
        <v>1484.759</v>
      </c>
      <c r="W8">
        <f t="shared" si="15"/>
        <v>0.17000000000030013</v>
      </c>
      <c r="X8">
        <f t="shared" si="16"/>
        <v>1481.5939999999996</v>
      </c>
      <c r="Y8">
        <f t="shared" si="17"/>
        <v>9.6500000000105501E-2</v>
      </c>
    </row>
    <row r="9" spans="1:25" x14ac:dyDescent="0.3">
      <c r="A9" t="s">
        <v>80</v>
      </c>
      <c r="B9">
        <v>1496.8</v>
      </c>
      <c r="C9">
        <v>1497.9</v>
      </c>
      <c r="D9">
        <v>1496.6</v>
      </c>
      <c r="E9">
        <v>1497.6</v>
      </c>
      <c r="F9">
        <v>10714</v>
      </c>
      <c r="G9">
        <v>0</v>
      </c>
      <c r="H9">
        <f t="shared" si="0"/>
        <v>1496.8</v>
      </c>
      <c r="I9">
        <f t="shared" si="1"/>
        <v>1497.9</v>
      </c>
      <c r="J9">
        <f t="shared" si="2"/>
        <v>1496.6</v>
      </c>
      <c r="K9">
        <f t="shared" si="3"/>
        <v>1.3000000000001819</v>
      </c>
      <c r="L9">
        <f t="shared" si="4"/>
        <v>0</v>
      </c>
      <c r="M9" t="str">
        <f t="shared" si="5"/>
        <v>UP</v>
      </c>
      <c r="N9">
        <f t="shared" si="6"/>
        <v>0.79999999999995453</v>
      </c>
      <c r="O9">
        <f t="shared" si="7"/>
        <v>9.9999999999909051E-2</v>
      </c>
      <c r="P9">
        <f t="shared" si="8"/>
        <v>-0.40000000000009095</v>
      </c>
      <c r="Q9">
        <f t="shared" si="9"/>
        <v>17</v>
      </c>
      <c r="R9">
        <f t="shared" si="10"/>
        <v>1497.36</v>
      </c>
      <c r="S9">
        <f t="shared" si="11"/>
        <v>-3.999999999996362E-2</v>
      </c>
      <c r="T9">
        <f t="shared" si="12"/>
        <v>1489.0900000000004</v>
      </c>
      <c r="U9">
        <f t="shared" si="13"/>
        <v>0.33999999999969077</v>
      </c>
      <c r="V9">
        <f t="shared" si="14"/>
        <v>1484.5889999999997</v>
      </c>
      <c r="W9">
        <f t="shared" si="15"/>
        <v>0.15999999999985448</v>
      </c>
      <c r="X9">
        <f t="shared" si="16"/>
        <v>1481.4974999999995</v>
      </c>
      <c r="Y9">
        <f t="shared" si="17"/>
        <v>0.10300000000029286</v>
      </c>
    </row>
    <row r="10" spans="1:25" x14ac:dyDescent="0.3">
      <c r="A10" t="s">
        <v>81</v>
      </c>
      <c r="B10">
        <v>1496.1</v>
      </c>
      <c r="C10">
        <v>1497.2</v>
      </c>
      <c r="D10">
        <v>1495.9</v>
      </c>
      <c r="E10">
        <v>1496.8</v>
      </c>
      <c r="F10">
        <v>9574</v>
      </c>
      <c r="G10">
        <v>0</v>
      </c>
      <c r="H10">
        <f t="shared" si="0"/>
        <v>1495.9</v>
      </c>
      <c r="I10">
        <f t="shared" si="1"/>
        <v>1497.2</v>
      </c>
      <c r="J10">
        <f t="shared" si="2"/>
        <v>1495.9</v>
      </c>
      <c r="K10">
        <f t="shared" si="3"/>
        <v>1.2999999999999545</v>
      </c>
      <c r="L10">
        <f t="shared" si="4"/>
        <v>0.1999999999998181</v>
      </c>
      <c r="M10" t="str">
        <f t="shared" si="5"/>
        <v>UP</v>
      </c>
      <c r="N10">
        <f t="shared" si="6"/>
        <v>0.89999999999986358</v>
      </c>
      <c r="O10">
        <f t="shared" si="7"/>
        <v>-1</v>
      </c>
      <c r="P10">
        <f t="shared" si="8"/>
        <v>-0.70000000000004547</v>
      </c>
      <c r="Q10">
        <f t="shared" si="9"/>
        <v>15.799999999999955</v>
      </c>
      <c r="R10">
        <f t="shared" si="10"/>
        <v>1497.3999999999999</v>
      </c>
      <c r="S10">
        <f t="shared" si="11"/>
        <v>-7.0000000000163709E-2</v>
      </c>
      <c r="T10">
        <f t="shared" si="12"/>
        <v>1488.7500000000007</v>
      </c>
      <c r="U10">
        <f t="shared" si="13"/>
        <v>0.3160000000002583</v>
      </c>
      <c r="V10">
        <f t="shared" si="14"/>
        <v>1484.4289999999999</v>
      </c>
      <c r="W10">
        <f t="shared" si="15"/>
        <v>0.16300000000001091</v>
      </c>
      <c r="X10">
        <f t="shared" si="16"/>
        <v>1481.3944999999992</v>
      </c>
      <c r="Y10">
        <f t="shared" si="17"/>
        <v>0.10399999999981446</v>
      </c>
    </row>
    <row r="11" spans="1:25" x14ac:dyDescent="0.3">
      <c r="A11" t="s">
        <v>82</v>
      </c>
      <c r="B11">
        <v>1496.1</v>
      </c>
      <c r="C11">
        <v>1496.5</v>
      </c>
      <c r="D11">
        <v>1495.4</v>
      </c>
      <c r="E11">
        <v>1495.9</v>
      </c>
      <c r="F11">
        <v>11426</v>
      </c>
      <c r="G11">
        <v>0</v>
      </c>
      <c r="H11">
        <f t="shared" si="0"/>
        <v>1496.1</v>
      </c>
      <c r="I11">
        <f t="shared" si="1"/>
        <v>1496.5</v>
      </c>
      <c r="J11">
        <f t="shared" si="2"/>
        <v>1495.4</v>
      </c>
      <c r="K11">
        <f t="shared" si="3"/>
        <v>1.0999999999999091</v>
      </c>
      <c r="L11">
        <f t="shared" si="4"/>
        <v>0</v>
      </c>
      <c r="M11" t="str">
        <f t="shared" si="5"/>
        <v>DOWN</v>
      </c>
      <c r="N11">
        <f t="shared" si="6"/>
        <v>-0.1999999999998181</v>
      </c>
      <c r="O11">
        <f t="shared" si="7"/>
        <v>-2.8999999999998636</v>
      </c>
      <c r="P11">
        <f t="shared" si="8"/>
        <v>-2.0999999999999091</v>
      </c>
      <c r="Q11">
        <f t="shared" si="9"/>
        <v>15.600000000000136</v>
      </c>
      <c r="R11">
        <f t="shared" si="10"/>
        <v>1497.47</v>
      </c>
      <c r="S11">
        <f t="shared" si="11"/>
        <v>-0.20999999999980901</v>
      </c>
      <c r="T11">
        <f t="shared" si="12"/>
        <v>1488.4340000000004</v>
      </c>
      <c r="U11">
        <f t="shared" si="13"/>
        <v>0.31199999999967076</v>
      </c>
      <c r="V11">
        <f t="shared" si="14"/>
        <v>1484.2659999999998</v>
      </c>
      <c r="W11">
        <f t="shared" si="15"/>
        <v>0.15300000000002001</v>
      </c>
      <c r="X11">
        <f t="shared" si="16"/>
        <v>1481.2904999999994</v>
      </c>
      <c r="Y11">
        <f t="shared" si="17"/>
        <v>9.3499999999949068E-2</v>
      </c>
    </row>
    <row r="12" spans="1:25" x14ac:dyDescent="0.3">
      <c r="A12" t="s">
        <v>83</v>
      </c>
      <c r="B12">
        <v>1496.5</v>
      </c>
      <c r="C12">
        <v>1497.5</v>
      </c>
      <c r="D12">
        <v>1495.7</v>
      </c>
      <c r="E12">
        <v>1496.1</v>
      </c>
      <c r="F12">
        <v>16303</v>
      </c>
      <c r="G12">
        <v>0</v>
      </c>
      <c r="H12">
        <f t="shared" si="0"/>
        <v>1496.1</v>
      </c>
      <c r="I12">
        <f t="shared" si="1"/>
        <v>1497.5</v>
      </c>
      <c r="J12">
        <f t="shared" si="2"/>
        <v>1495.7</v>
      </c>
      <c r="K12">
        <f t="shared" si="3"/>
        <v>1.7999999999999545</v>
      </c>
      <c r="L12">
        <f t="shared" si="4"/>
        <v>0.40000000000009095</v>
      </c>
      <c r="M12" t="str">
        <f t="shared" si="5"/>
        <v>DOWN</v>
      </c>
      <c r="N12">
        <f t="shared" si="6"/>
        <v>0</v>
      </c>
      <c r="O12">
        <f t="shared" si="7"/>
        <v>-2.1000000000001364</v>
      </c>
      <c r="P12">
        <f t="shared" si="8"/>
        <v>-1.4000000000000909</v>
      </c>
      <c r="Q12">
        <f t="shared" si="9"/>
        <v>16</v>
      </c>
      <c r="R12">
        <f t="shared" si="10"/>
        <v>1497.6799999999998</v>
      </c>
      <c r="S12">
        <f t="shared" si="11"/>
        <v>-0.14000000000010004</v>
      </c>
      <c r="T12">
        <f t="shared" si="12"/>
        <v>1488.1220000000008</v>
      </c>
      <c r="U12">
        <f t="shared" si="13"/>
        <v>0.32000000000039108</v>
      </c>
      <c r="V12">
        <f t="shared" si="14"/>
        <v>1484.1129999999998</v>
      </c>
      <c r="W12">
        <f t="shared" si="15"/>
        <v>0.15200000000004366</v>
      </c>
      <c r="X12">
        <f t="shared" si="16"/>
        <v>1481.1969999999994</v>
      </c>
      <c r="Y12">
        <f t="shared" si="17"/>
        <v>9.0000000000145519E-2</v>
      </c>
    </row>
    <row r="13" spans="1:25" x14ac:dyDescent="0.3">
      <c r="A13" t="s">
        <v>84</v>
      </c>
      <c r="B13">
        <v>1497.5</v>
      </c>
      <c r="C13">
        <v>1498.5</v>
      </c>
      <c r="D13">
        <v>1496.1</v>
      </c>
      <c r="E13">
        <v>1496.1</v>
      </c>
      <c r="F13">
        <v>23439</v>
      </c>
      <c r="G13">
        <v>0</v>
      </c>
      <c r="H13">
        <f t="shared" si="0"/>
        <v>1497.5</v>
      </c>
      <c r="I13">
        <f t="shared" si="1"/>
        <v>1498.5</v>
      </c>
      <c r="J13">
        <f t="shared" si="2"/>
        <v>1496.1</v>
      </c>
      <c r="K13">
        <f t="shared" si="3"/>
        <v>2.4000000000000909</v>
      </c>
      <c r="L13">
        <f t="shared" si="4"/>
        <v>0</v>
      </c>
      <c r="M13" t="str">
        <f t="shared" si="5"/>
        <v>DOWN</v>
      </c>
      <c r="N13">
        <f t="shared" si="6"/>
        <v>-1.4000000000000909</v>
      </c>
      <c r="O13">
        <f t="shared" si="7"/>
        <v>-2.7000000000000455</v>
      </c>
      <c r="P13">
        <f t="shared" si="8"/>
        <v>0.89999999999986358</v>
      </c>
      <c r="Q13">
        <f t="shared" si="9"/>
        <v>16.099999999999909</v>
      </c>
      <c r="R13">
        <f t="shared" si="10"/>
        <v>1497.82</v>
      </c>
      <c r="S13">
        <f t="shared" si="11"/>
        <v>8.9999999999918145E-2</v>
      </c>
      <c r="T13">
        <f t="shared" si="12"/>
        <v>1487.8020000000004</v>
      </c>
      <c r="U13">
        <f t="shared" si="13"/>
        <v>0.32199999999988904</v>
      </c>
      <c r="V13">
        <f t="shared" si="14"/>
        <v>1483.9609999999998</v>
      </c>
      <c r="W13">
        <f t="shared" si="15"/>
        <v>0.15600000000017644</v>
      </c>
      <c r="X13">
        <f t="shared" si="16"/>
        <v>1481.1069999999993</v>
      </c>
      <c r="Y13">
        <f t="shared" si="17"/>
        <v>8.7500000000090949E-2</v>
      </c>
    </row>
    <row r="14" spans="1:25" x14ac:dyDescent="0.3">
      <c r="A14" t="s">
        <v>85</v>
      </c>
      <c r="B14">
        <v>1497.6</v>
      </c>
      <c r="C14">
        <v>1497.9</v>
      </c>
      <c r="D14">
        <v>1497</v>
      </c>
      <c r="E14">
        <v>1497.5</v>
      </c>
      <c r="F14">
        <v>13033</v>
      </c>
      <c r="G14">
        <v>0</v>
      </c>
      <c r="H14">
        <f t="shared" si="0"/>
        <v>1497.8</v>
      </c>
      <c r="I14">
        <f t="shared" si="1"/>
        <v>1497.9</v>
      </c>
      <c r="J14">
        <f t="shared" si="2"/>
        <v>1497</v>
      </c>
      <c r="K14">
        <f t="shared" si="3"/>
        <v>0.90000000000009095</v>
      </c>
      <c r="L14">
        <f t="shared" si="4"/>
        <v>-0.20000000000004547</v>
      </c>
      <c r="M14" t="str">
        <f t="shared" si="5"/>
        <v>DOWN</v>
      </c>
      <c r="N14">
        <f t="shared" si="6"/>
        <v>-0.29999999999995453</v>
      </c>
      <c r="O14">
        <f t="shared" si="7"/>
        <v>-0.5</v>
      </c>
      <c r="P14">
        <f t="shared" si="8"/>
        <v>3.2000000000000455</v>
      </c>
      <c r="Q14">
        <f t="shared" si="9"/>
        <v>17.900000000000091</v>
      </c>
      <c r="R14">
        <f t="shared" si="10"/>
        <v>1497.73</v>
      </c>
      <c r="S14">
        <f t="shared" si="11"/>
        <v>0.31999999999993634</v>
      </c>
      <c r="T14">
        <f t="shared" si="12"/>
        <v>1487.4800000000005</v>
      </c>
      <c r="U14">
        <f t="shared" si="13"/>
        <v>0.35799999999971988</v>
      </c>
      <c r="V14">
        <f t="shared" si="14"/>
        <v>1483.8049999999996</v>
      </c>
      <c r="W14">
        <f t="shared" si="15"/>
        <v>0.1739999999997508</v>
      </c>
      <c r="X14">
        <f t="shared" si="16"/>
        <v>1481.0194999999992</v>
      </c>
      <c r="Y14">
        <f t="shared" si="17"/>
        <v>9.7500000000309228E-2</v>
      </c>
    </row>
    <row r="15" spans="1:25" x14ac:dyDescent="0.3">
      <c r="A15" t="s">
        <v>86</v>
      </c>
      <c r="B15">
        <v>1498.8</v>
      </c>
      <c r="C15">
        <v>1498.9</v>
      </c>
      <c r="D15">
        <v>1497.3</v>
      </c>
      <c r="E15">
        <v>1497.8</v>
      </c>
      <c r="F15">
        <v>15221</v>
      </c>
      <c r="G15">
        <v>0</v>
      </c>
      <c r="H15">
        <f t="shared" si="0"/>
        <v>1498.8</v>
      </c>
      <c r="I15">
        <f t="shared" si="1"/>
        <v>1498.9</v>
      </c>
      <c r="J15">
        <f t="shared" si="2"/>
        <v>1497.3</v>
      </c>
      <c r="K15">
        <f t="shared" si="3"/>
        <v>1.6000000000001364</v>
      </c>
      <c r="L15">
        <f t="shared" si="4"/>
        <v>0</v>
      </c>
      <c r="M15" t="str">
        <f t="shared" si="5"/>
        <v>DOWN</v>
      </c>
      <c r="N15">
        <f t="shared" si="6"/>
        <v>-1</v>
      </c>
      <c r="O15">
        <f t="shared" si="7"/>
        <v>0.29999999999995453</v>
      </c>
      <c r="P15">
        <f t="shared" si="8"/>
        <v>4.2999999999999545</v>
      </c>
      <c r="Q15">
        <f t="shared" si="9"/>
        <v>17.899999999999864</v>
      </c>
      <c r="R15">
        <f t="shared" si="10"/>
        <v>1497.41</v>
      </c>
      <c r="S15">
        <f t="shared" si="11"/>
        <v>0.43000000000006366</v>
      </c>
      <c r="T15">
        <f t="shared" si="12"/>
        <v>1487.1220000000008</v>
      </c>
      <c r="U15">
        <f t="shared" si="13"/>
        <v>0.35800000000017462</v>
      </c>
      <c r="V15">
        <f t="shared" si="14"/>
        <v>1483.6309999999999</v>
      </c>
      <c r="W15">
        <f t="shared" si="15"/>
        <v>0.17699999999990723</v>
      </c>
      <c r="X15">
        <f t="shared" si="16"/>
        <v>1480.9219999999989</v>
      </c>
      <c r="Y15">
        <f t="shared" si="17"/>
        <v>7.949999999937063E-2</v>
      </c>
    </row>
    <row r="16" spans="1:25" x14ac:dyDescent="0.3">
      <c r="A16" t="s">
        <v>87</v>
      </c>
      <c r="B16">
        <v>1498.2</v>
      </c>
      <c r="C16">
        <v>1498.9</v>
      </c>
      <c r="D16">
        <v>1498</v>
      </c>
      <c r="E16">
        <v>1498.8</v>
      </c>
      <c r="F16">
        <v>10990</v>
      </c>
      <c r="G16">
        <v>0</v>
      </c>
      <c r="H16">
        <f t="shared" si="0"/>
        <v>1498.2</v>
      </c>
      <c r="I16">
        <f t="shared" si="1"/>
        <v>1498.9</v>
      </c>
      <c r="J16">
        <f t="shared" si="2"/>
        <v>1498</v>
      </c>
      <c r="K16">
        <f t="shared" si="3"/>
        <v>0.90000000000009095</v>
      </c>
      <c r="L16">
        <f t="shared" si="4"/>
        <v>0</v>
      </c>
      <c r="M16" t="str">
        <f t="shared" si="5"/>
        <v>UP</v>
      </c>
      <c r="N16">
        <f t="shared" si="6"/>
        <v>0.59999999999990905</v>
      </c>
      <c r="O16">
        <f t="shared" si="7"/>
        <v>0.79999999999995453</v>
      </c>
      <c r="P16">
        <f t="shared" si="8"/>
        <v>4.8999999999998636</v>
      </c>
      <c r="Q16">
        <f t="shared" si="9"/>
        <v>18.899999999999864</v>
      </c>
      <c r="R16">
        <f t="shared" si="10"/>
        <v>1496.98</v>
      </c>
      <c r="S16">
        <f t="shared" si="11"/>
        <v>0.49000000000000909</v>
      </c>
      <c r="T16">
        <f t="shared" si="12"/>
        <v>1486.7640000000006</v>
      </c>
      <c r="U16">
        <f t="shared" si="13"/>
        <v>0.37800000000015643</v>
      </c>
      <c r="V16">
        <f t="shared" si="14"/>
        <v>1483.454</v>
      </c>
      <c r="W16">
        <f t="shared" si="15"/>
        <v>0.17899999999985994</v>
      </c>
      <c r="X16">
        <f t="shared" si="16"/>
        <v>1480.8424999999995</v>
      </c>
      <c r="Y16">
        <f t="shared" si="17"/>
        <v>8.700000000021646E-2</v>
      </c>
    </row>
    <row r="17" spans="1:25" x14ac:dyDescent="0.3">
      <c r="A17" t="s">
        <v>88</v>
      </c>
      <c r="B17">
        <v>1498.8</v>
      </c>
      <c r="C17">
        <v>1500</v>
      </c>
      <c r="D17">
        <v>1497.9</v>
      </c>
      <c r="E17">
        <v>1498.2</v>
      </c>
      <c r="F17">
        <v>31766</v>
      </c>
      <c r="G17">
        <v>0</v>
      </c>
      <c r="H17">
        <f t="shared" si="0"/>
        <v>1498.8</v>
      </c>
      <c r="I17">
        <f t="shared" si="1"/>
        <v>1500</v>
      </c>
      <c r="J17">
        <f t="shared" si="2"/>
        <v>1497.9</v>
      </c>
      <c r="K17">
        <f t="shared" si="3"/>
        <v>2.0999999999999091</v>
      </c>
      <c r="L17">
        <f t="shared" si="4"/>
        <v>0</v>
      </c>
      <c r="M17" t="str">
        <f t="shared" si="5"/>
        <v>DOWN</v>
      </c>
      <c r="N17">
        <f t="shared" si="6"/>
        <v>-0.59999999999990905</v>
      </c>
      <c r="O17">
        <f t="shared" si="7"/>
        <v>0.70000000000004547</v>
      </c>
      <c r="P17">
        <f t="shared" si="8"/>
        <v>4.4000000000000909</v>
      </c>
      <c r="Q17">
        <f t="shared" si="9"/>
        <v>18.299999999999955</v>
      </c>
      <c r="R17">
        <f t="shared" si="10"/>
        <v>1496.49</v>
      </c>
      <c r="S17">
        <f t="shared" si="11"/>
        <v>0.44000000000028194</v>
      </c>
      <c r="T17">
        <f t="shared" si="12"/>
        <v>1486.3860000000004</v>
      </c>
      <c r="U17">
        <f t="shared" si="13"/>
        <v>0.3660000000004402</v>
      </c>
      <c r="V17">
        <f t="shared" si="14"/>
        <v>1483.2750000000001</v>
      </c>
      <c r="W17">
        <f t="shared" si="15"/>
        <v>0.17400000000043292</v>
      </c>
      <c r="X17">
        <f t="shared" si="16"/>
        <v>1480.7554999999993</v>
      </c>
      <c r="Y17">
        <f t="shared" si="17"/>
        <v>7.5999999999794454E-2</v>
      </c>
    </row>
    <row r="18" spans="1:25" x14ac:dyDescent="0.3">
      <c r="A18" t="s">
        <v>89</v>
      </c>
      <c r="B18">
        <v>1497.8</v>
      </c>
      <c r="C18">
        <v>1499</v>
      </c>
      <c r="D18">
        <v>1497.8</v>
      </c>
      <c r="E18">
        <v>1498.8</v>
      </c>
      <c r="F18">
        <v>23272</v>
      </c>
      <c r="G18">
        <v>0</v>
      </c>
      <c r="H18">
        <f t="shared" si="0"/>
        <v>1498</v>
      </c>
      <c r="I18">
        <f t="shared" si="1"/>
        <v>1499</v>
      </c>
      <c r="J18">
        <f t="shared" si="2"/>
        <v>1497.8</v>
      </c>
      <c r="K18">
        <f t="shared" si="3"/>
        <v>1.2000000000000455</v>
      </c>
      <c r="L18">
        <f t="shared" si="4"/>
        <v>-0.20000000000004547</v>
      </c>
      <c r="M18" t="str">
        <f t="shared" si="5"/>
        <v>UP</v>
      </c>
      <c r="N18">
        <f t="shared" si="6"/>
        <v>0.79999999999995453</v>
      </c>
      <c r="O18">
        <f t="shared" si="7"/>
        <v>3.5999999999999091</v>
      </c>
      <c r="P18">
        <f t="shared" si="8"/>
        <v>5.7999999999999545</v>
      </c>
      <c r="Q18">
        <f t="shared" si="9"/>
        <v>19</v>
      </c>
      <c r="R18">
        <f t="shared" si="10"/>
        <v>1496.0499999999997</v>
      </c>
      <c r="S18">
        <f t="shared" si="11"/>
        <v>0.57999999999992724</v>
      </c>
      <c r="T18">
        <f t="shared" si="12"/>
        <v>1486.02</v>
      </c>
      <c r="U18">
        <f t="shared" si="13"/>
        <v>0.37999999999965439</v>
      </c>
      <c r="V18">
        <f t="shared" si="14"/>
        <v>1483.1009999999997</v>
      </c>
      <c r="W18">
        <f t="shared" si="15"/>
        <v>0.1739999999997508</v>
      </c>
      <c r="X18">
        <f t="shared" si="16"/>
        <v>1480.6794999999995</v>
      </c>
      <c r="Y18">
        <f t="shared" si="17"/>
        <v>8.049999999980173E-2</v>
      </c>
    </row>
    <row r="19" spans="1:25" x14ac:dyDescent="0.3">
      <c r="A19" t="s">
        <v>90</v>
      </c>
      <c r="B19">
        <v>1497</v>
      </c>
      <c r="C19">
        <v>1498</v>
      </c>
      <c r="D19">
        <v>1497</v>
      </c>
      <c r="E19">
        <v>1498</v>
      </c>
      <c r="F19">
        <v>10633</v>
      </c>
      <c r="G19">
        <v>0</v>
      </c>
      <c r="H19">
        <f t="shared" si="0"/>
        <v>1497.5</v>
      </c>
      <c r="I19">
        <f t="shared" si="1"/>
        <v>1498</v>
      </c>
      <c r="J19">
        <f t="shared" si="2"/>
        <v>1497</v>
      </c>
      <c r="K19">
        <f t="shared" si="3"/>
        <v>1</v>
      </c>
      <c r="L19">
        <f t="shared" si="4"/>
        <v>-0.5</v>
      </c>
      <c r="M19" t="str">
        <f t="shared" si="5"/>
        <v>UP</v>
      </c>
      <c r="N19">
        <f t="shared" si="6"/>
        <v>0.5</v>
      </c>
      <c r="O19">
        <f t="shared" si="7"/>
        <v>3.7000000000000455</v>
      </c>
      <c r="P19">
        <f t="shared" si="8"/>
        <v>4.9000000000000909</v>
      </c>
      <c r="Q19">
        <f t="shared" si="9"/>
        <v>17.599999999999909</v>
      </c>
      <c r="R19">
        <f t="shared" si="10"/>
        <v>1495.4699999999998</v>
      </c>
      <c r="S19">
        <f t="shared" si="11"/>
        <v>0.48999999999978172</v>
      </c>
      <c r="T19">
        <f t="shared" si="12"/>
        <v>1485.6400000000003</v>
      </c>
      <c r="U19">
        <f t="shared" si="13"/>
        <v>0.35200000000054388</v>
      </c>
      <c r="V19">
        <f t="shared" si="14"/>
        <v>1482.9269999999999</v>
      </c>
      <c r="W19">
        <f t="shared" si="15"/>
        <v>0.16600000000016735</v>
      </c>
      <c r="X19">
        <f t="shared" si="16"/>
        <v>1480.5989999999997</v>
      </c>
      <c r="Y19">
        <f t="shared" si="17"/>
        <v>7.2499999999990905E-2</v>
      </c>
    </row>
    <row r="20" spans="1:25" x14ac:dyDescent="0.3">
      <c r="A20" t="s">
        <v>91</v>
      </c>
      <c r="B20">
        <v>1498</v>
      </c>
      <c r="C20">
        <v>1498</v>
      </c>
      <c r="D20">
        <v>1497</v>
      </c>
      <c r="E20">
        <v>1497.5</v>
      </c>
      <c r="F20">
        <v>20707</v>
      </c>
      <c r="G20">
        <v>0</v>
      </c>
      <c r="H20">
        <f t="shared" si="0"/>
        <v>1498</v>
      </c>
      <c r="I20">
        <f t="shared" si="1"/>
        <v>1498</v>
      </c>
      <c r="J20">
        <f t="shared" si="2"/>
        <v>1497</v>
      </c>
      <c r="K20">
        <f t="shared" si="3"/>
        <v>1</v>
      </c>
      <c r="L20">
        <f t="shared" si="4"/>
        <v>0</v>
      </c>
      <c r="M20" t="str">
        <f t="shared" si="5"/>
        <v>DOWN</v>
      </c>
      <c r="N20">
        <f t="shared" si="6"/>
        <v>-0.5</v>
      </c>
      <c r="O20">
        <f t="shared" si="7"/>
        <v>4</v>
      </c>
      <c r="P20">
        <f t="shared" si="8"/>
        <v>3.7999999999999545</v>
      </c>
      <c r="Q20">
        <f t="shared" si="9"/>
        <v>17.599999999999909</v>
      </c>
      <c r="R20">
        <f t="shared" si="10"/>
        <v>1494.98</v>
      </c>
      <c r="S20">
        <f t="shared" si="11"/>
        <v>0.38000000000010914</v>
      </c>
      <c r="T20">
        <f t="shared" si="12"/>
        <v>1485.2879999999998</v>
      </c>
      <c r="U20">
        <f t="shared" si="13"/>
        <v>0.35200000000008913</v>
      </c>
      <c r="V20">
        <f t="shared" si="14"/>
        <v>1482.7609999999997</v>
      </c>
      <c r="W20">
        <f t="shared" si="15"/>
        <v>0.15500000000020009</v>
      </c>
      <c r="X20">
        <f t="shared" si="16"/>
        <v>1480.5264999999997</v>
      </c>
      <c r="Y20">
        <f t="shared" si="17"/>
        <v>6.9000000000187356E-2</v>
      </c>
    </row>
    <row r="21" spans="1:25" x14ac:dyDescent="0.3">
      <c r="A21" t="s">
        <v>92</v>
      </c>
      <c r="B21">
        <v>1497.5</v>
      </c>
      <c r="C21">
        <v>1498.1</v>
      </c>
      <c r="D21">
        <v>1497</v>
      </c>
      <c r="E21">
        <v>1498</v>
      </c>
      <c r="F21">
        <v>35872</v>
      </c>
      <c r="G21">
        <v>0</v>
      </c>
      <c r="H21">
        <f t="shared" si="0"/>
        <v>1497.5</v>
      </c>
      <c r="I21">
        <f t="shared" si="1"/>
        <v>1498.1</v>
      </c>
      <c r="J21">
        <f t="shared" si="2"/>
        <v>1497</v>
      </c>
      <c r="K21">
        <f t="shared" si="3"/>
        <v>1.0999999999999091</v>
      </c>
      <c r="L21">
        <f t="shared" si="4"/>
        <v>0</v>
      </c>
      <c r="M21" t="str">
        <f t="shared" si="5"/>
        <v>UP</v>
      </c>
      <c r="N21">
        <f t="shared" si="6"/>
        <v>0.5</v>
      </c>
      <c r="O21">
        <f t="shared" si="7"/>
        <v>4.0999999999999091</v>
      </c>
      <c r="P21">
        <f t="shared" si="8"/>
        <v>6.2999999999999545</v>
      </c>
      <c r="Q21">
        <f t="shared" si="9"/>
        <v>18.099999999999909</v>
      </c>
      <c r="R21">
        <f t="shared" si="10"/>
        <v>1494.6</v>
      </c>
      <c r="S21">
        <f t="shared" si="11"/>
        <v>0.62999999999988177</v>
      </c>
      <c r="T21">
        <f t="shared" si="12"/>
        <v>1484.9359999999997</v>
      </c>
      <c r="U21">
        <f t="shared" si="13"/>
        <v>0.36200000000008004</v>
      </c>
      <c r="V21">
        <f t="shared" si="14"/>
        <v>1482.6059999999995</v>
      </c>
      <c r="W21">
        <f t="shared" si="15"/>
        <v>0.15399999999999636</v>
      </c>
      <c r="X21">
        <f t="shared" si="16"/>
        <v>1480.4574999999995</v>
      </c>
      <c r="Y21">
        <f t="shared" si="17"/>
        <v>7.4000000000069122E-2</v>
      </c>
    </row>
    <row r="22" spans="1:25" x14ac:dyDescent="0.3">
      <c r="A22" t="s">
        <v>93</v>
      </c>
      <c r="B22">
        <v>1495.3</v>
      </c>
      <c r="C22">
        <v>1497.5</v>
      </c>
      <c r="D22">
        <v>1495.1</v>
      </c>
      <c r="E22">
        <v>1497.5</v>
      </c>
      <c r="F22">
        <v>59443</v>
      </c>
      <c r="G22">
        <v>0</v>
      </c>
      <c r="H22">
        <f t="shared" si="0"/>
        <v>1495.2</v>
      </c>
      <c r="I22">
        <f t="shared" si="1"/>
        <v>1497.5</v>
      </c>
      <c r="J22">
        <f t="shared" si="2"/>
        <v>1495.1</v>
      </c>
      <c r="K22">
        <f t="shared" si="3"/>
        <v>2.4000000000000909</v>
      </c>
      <c r="L22">
        <f t="shared" si="4"/>
        <v>9.9999999999909051E-2</v>
      </c>
      <c r="M22" t="str">
        <f t="shared" si="5"/>
        <v>UP</v>
      </c>
      <c r="N22">
        <f t="shared" si="6"/>
        <v>2.2999999999999545</v>
      </c>
      <c r="O22">
        <f t="shared" si="7"/>
        <v>3.7000000000000455</v>
      </c>
      <c r="P22">
        <f t="shared" si="8"/>
        <v>6</v>
      </c>
      <c r="Q22">
        <f t="shared" si="9"/>
        <v>17.5</v>
      </c>
      <c r="R22">
        <f t="shared" si="10"/>
        <v>1493.97</v>
      </c>
      <c r="S22">
        <f t="shared" si="11"/>
        <v>0.59999999999968168</v>
      </c>
      <c r="T22">
        <f t="shared" si="12"/>
        <v>1484.5739999999996</v>
      </c>
      <c r="U22">
        <f t="shared" si="13"/>
        <v>0.34999999999968168</v>
      </c>
      <c r="V22">
        <f t="shared" si="14"/>
        <v>1482.4519999999995</v>
      </c>
      <c r="W22">
        <f t="shared" si="15"/>
        <v>0.15299999999956526</v>
      </c>
      <c r="X22">
        <f t="shared" si="16"/>
        <v>1480.3834999999995</v>
      </c>
      <c r="Y22">
        <f t="shared" si="17"/>
        <v>7.4499999999716238E-2</v>
      </c>
    </row>
    <row r="23" spans="1:25" x14ac:dyDescent="0.3">
      <c r="A23" t="s">
        <v>10</v>
      </c>
      <c r="B23">
        <v>1494.3</v>
      </c>
      <c r="C23">
        <v>1495.2</v>
      </c>
      <c r="D23">
        <v>1494</v>
      </c>
      <c r="E23">
        <v>1495.2</v>
      </c>
      <c r="F23">
        <v>15552</v>
      </c>
      <c r="G23">
        <v>0</v>
      </c>
      <c r="H23">
        <f t="shared" si="0"/>
        <v>1494.3</v>
      </c>
      <c r="I23">
        <f t="shared" si="1"/>
        <v>1495.2</v>
      </c>
      <c r="J23">
        <f t="shared" si="2"/>
        <v>1494</v>
      </c>
      <c r="K23">
        <f t="shared" si="3"/>
        <v>1.2000000000000455</v>
      </c>
      <c r="L23">
        <f t="shared" si="4"/>
        <v>0</v>
      </c>
      <c r="M23" t="str">
        <f t="shared" si="5"/>
        <v>UP</v>
      </c>
      <c r="N23">
        <f t="shared" si="6"/>
        <v>0.90000000000009095</v>
      </c>
      <c r="O23">
        <f t="shared" si="7"/>
        <v>2.2000000000000455</v>
      </c>
      <c r="P23">
        <f t="shared" si="8"/>
        <v>3.7000000000000455</v>
      </c>
      <c r="Q23">
        <f t="shared" si="9"/>
        <v>15.400000000000091</v>
      </c>
      <c r="R23">
        <f t="shared" si="10"/>
        <v>1493.3700000000003</v>
      </c>
      <c r="S23">
        <f t="shared" si="11"/>
        <v>0.37000000000011823</v>
      </c>
      <c r="T23">
        <f t="shared" si="12"/>
        <v>1484.2239999999999</v>
      </c>
      <c r="U23">
        <f t="shared" si="13"/>
        <v>0.3080000000002201</v>
      </c>
      <c r="V23">
        <f t="shared" si="14"/>
        <v>1482.299</v>
      </c>
      <c r="W23">
        <f t="shared" si="15"/>
        <v>0.12400000000025102</v>
      </c>
      <c r="X23">
        <f t="shared" si="16"/>
        <v>1480.3089999999997</v>
      </c>
      <c r="Y23">
        <f t="shared" si="17"/>
        <v>5.5000000000063665E-2</v>
      </c>
    </row>
    <row r="24" spans="1:25" x14ac:dyDescent="0.3">
      <c r="A24" t="s">
        <v>94</v>
      </c>
      <c r="B24">
        <v>1493.1</v>
      </c>
      <c r="C24">
        <v>1494.3</v>
      </c>
      <c r="D24">
        <v>1493</v>
      </c>
      <c r="E24">
        <v>1494.3</v>
      </c>
      <c r="F24">
        <v>11468</v>
      </c>
      <c r="G24">
        <v>0</v>
      </c>
      <c r="H24">
        <f t="shared" si="0"/>
        <v>1493.5</v>
      </c>
      <c r="I24">
        <f t="shared" si="1"/>
        <v>1494.3</v>
      </c>
      <c r="J24">
        <f t="shared" si="2"/>
        <v>1493</v>
      </c>
      <c r="K24">
        <f t="shared" si="3"/>
        <v>1.2999999999999545</v>
      </c>
      <c r="L24">
        <f t="shared" si="4"/>
        <v>-0.40000000000009095</v>
      </c>
      <c r="M24" t="str">
        <f t="shared" si="5"/>
        <v>UP</v>
      </c>
      <c r="N24">
        <f t="shared" si="6"/>
        <v>0.79999999999995453</v>
      </c>
      <c r="O24">
        <f t="shared" si="7"/>
        <v>1.2000000000000455</v>
      </c>
      <c r="P24">
        <f t="shared" si="8"/>
        <v>3.3999999999998636</v>
      </c>
      <c r="Q24">
        <f t="shared" si="9"/>
        <v>14.399999999999864</v>
      </c>
      <c r="R24">
        <f t="shared" si="10"/>
        <v>1493.0000000000002</v>
      </c>
      <c r="S24">
        <f t="shared" si="11"/>
        <v>0.34000000000014552</v>
      </c>
      <c r="T24">
        <f t="shared" si="12"/>
        <v>1483.9159999999997</v>
      </c>
      <c r="U24">
        <f t="shared" si="13"/>
        <v>0.28799999999978354</v>
      </c>
      <c r="V24">
        <f t="shared" si="14"/>
        <v>1482.1749999999997</v>
      </c>
      <c r="W24">
        <f t="shared" si="15"/>
        <v>0.11599999999975807</v>
      </c>
      <c r="X24">
        <f t="shared" si="16"/>
        <v>1480.2539999999997</v>
      </c>
      <c r="Y24">
        <f t="shared" si="17"/>
        <v>6.3499999999976353E-2</v>
      </c>
    </row>
    <row r="25" spans="1:25" x14ac:dyDescent="0.3">
      <c r="A25" t="s">
        <v>95</v>
      </c>
      <c r="B25">
        <v>1493.8</v>
      </c>
      <c r="C25">
        <v>1494.3</v>
      </c>
      <c r="D25">
        <v>1492.6</v>
      </c>
      <c r="E25">
        <v>1493.5</v>
      </c>
      <c r="F25">
        <v>11075</v>
      </c>
      <c r="G25">
        <v>0</v>
      </c>
      <c r="H25">
        <f t="shared" si="0"/>
        <v>1493.9</v>
      </c>
      <c r="I25">
        <f t="shared" si="1"/>
        <v>1494.3</v>
      </c>
      <c r="J25">
        <f t="shared" si="2"/>
        <v>1492.6</v>
      </c>
      <c r="K25">
        <f t="shared" si="3"/>
        <v>1.7000000000000455</v>
      </c>
      <c r="L25">
        <f t="shared" si="4"/>
        <v>-0.10000000000013642</v>
      </c>
      <c r="M25" t="str">
        <f t="shared" si="5"/>
        <v>DOWN</v>
      </c>
      <c r="N25">
        <f t="shared" si="6"/>
        <v>-0.40000000000009095</v>
      </c>
      <c r="O25">
        <f t="shared" si="7"/>
        <v>-0.20000000000004547</v>
      </c>
      <c r="P25">
        <f t="shared" si="8"/>
        <v>2.9000000000000909</v>
      </c>
      <c r="Q25">
        <f t="shared" si="9"/>
        <v>13.599999999999909</v>
      </c>
      <c r="R25">
        <f t="shared" si="10"/>
        <v>1492.66</v>
      </c>
      <c r="S25">
        <f t="shared" si="11"/>
        <v>0.29000000000019099</v>
      </c>
      <c r="T25">
        <f t="shared" si="12"/>
        <v>1483.6279999999999</v>
      </c>
      <c r="U25">
        <f t="shared" si="13"/>
        <v>0.27200000000016189</v>
      </c>
      <c r="V25">
        <f t="shared" si="14"/>
        <v>1482.059</v>
      </c>
      <c r="W25">
        <f t="shared" si="15"/>
        <v>0.12400000000002365</v>
      </c>
      <c r="X25">
        <f t="shared" si="16"/>
        <v>1480.1904999999997</v>
      </c>
      <c r="Y25">
        <f t="shared" si="17"/>
        <v>5.7500000000118234E-2</v>
      </c>
    </row>
    <row r="26" spans="1:25" x14ac:dyDescent="0.3">
      <c r="A26" t="s">
        <v>96</v>
      </c>
      <c r="B26">
        <v>1493.7</v>
      </c>
      <c r="C26">
        <v>1494.3</v>
      </c>
      <c r="D26">
        <v>1493.3</v>
      </c>
      <c r="E26">
        <v>1493.9</v>
      </c>
      <c r="F26">
        <v>10014</v>
      </c>
      <c r="G26">
        <v>0</v>
      </c>
      <c r="H26">
        <f t="shared" si="0"/>
        <v>1493.8</v>
      </c>
      <c r="I26">
        <f t="shared" si="1"/>
        <v>1494.3</v>
      </c>
      <c r="J26">
        <f t="shared" si="2"/>
        <v>1493.3</v>
      </c>
      <c r="K26">
        <f t="shared" si="3"/>
        <v>1</v>
      </c>
      <c r="L26">
        <f t="shared" si="4"/>
        <v>-9.9999999999909051E-2</v>
      </c>
      <c r="M26" t="str">
        <f t="shared" si="5"/>
        <v>UP</v>
      </c>
      <c r="N26">
        <f t="shared" si="6"/>
        <v>0.10000000000013642</v>
      </c>
      <c r="O26">
        <f t="shared" si="7"/>
        <v>2.2000000000000455</v>
      </c>
      <c r="P26">
        <f t="shared" si="8"/>
        <v>4.5</v>
      </c>
      <c r="Q26">
        <f t="shared" si="9"/>
        <v>15.200000000000045</v>
      </c>
      <c r="R26">
        <f t="shared" si="10"/>
        <v>1492.37</v>
      </c>
      <c r="S26">
        <f t="shared" si="11"/>
        <v>0.45000000000004547</v>
      </c>
      <c r="T26">
        <f t="shared" si="12"/>
        <v>1483.3559999999998</v>
      </c>
      <c r="U26">
        <f t="shared" si="13"/>
        <v>0.30399999999985994</v>
      </c>
      <c r="V26">
        <f t="shared" si="14"/>
        <v>1481.9349999999999</v>
      </c>
      <c r="W26">
        <f t="shared" si="15"/>
        <v>0.12599999999997635</v>
      </c>
      <c r="X26">
        <f t="shared" si="16"/>
        <v>1480.1329999999996</v>
      </c>
      <c r="Y26">
        <f t="shared" si="17"/>
        <v>5.5500000000165528E-2</v>
      </c>
    </row>
    <row r="27" spans="1:25" x14ac:dyDescent="0.3">
      <c r="A27" t="s">
        <v>97</v>
      </c>
      <c r="B27">
        <v>1493</v>
      </c>
      <c r="C27">
        <v>1494.4</v>
      </c>
      <c r="D27">
        <v>1492.3</v>
      </c>
      <c r="E27">
        <v>1493.8</v>
      </c>
      <c r="F27">
        <v>20833</v>
      </c>
      <c r="G27">
        <v>0</v>
      </c>
      <c r="H27">
        <f t="shared" si="0"/>
        <v>1493</v>
      </c>
      <c r="I27">
        <f t="shared" si="1"/>
        <v>1494.4</v>
      </c>
      <c r="J27">
        <f t="shared" si="2"/>
        <v>1492.3</v>
      </c>
      <c r="K27">
        <f t="shared" si="3"/>
        <v>2.1000000000001364</v>
      </c>
      <c r="L27">
        <f t="shared" si="4"/>
        <v>0</v>
      </c>
      <c r="M27" t="str">
        <f t="shared" si="5"/>
        <v>UP</v>
      </c>
      <c r="N27">
        <f t="shared" si="6"/>
        <v>0.79999999999995453</v>
      </c>
      <c r="O27">
        <f t="shared" si="7"/>
        <v>2.2999999999999545</v>
      </c>
      <c r="P27">
        <f t="shared" si="8"/>
        <v>8.2999999999999545</v>
      </c>
      <c r="Q27">
        <f t="shared" si="9"/>
        <v>15</v>
      </c>
      <c r="R27">
        <f t="shared" si="10"/>
        <v>1491.9199999999998</v>
      </c>
      <c r="S27">
        <f t="shared" si="11"/>
        <v>0.82999999999992724</v>
      </c>
      <c r="T27">
        <f t="shared" si="12"/>
        <v>1483.0519999999999</v>
      </c>
      <c r="U27">
        <f t="shared" si="13"/>
        <v>0.29999999999972715</v>
      </c>
      <c r="V27">
        <f t="shared" si="14"/>
        <v>1481.809</v>
      </c>
      <c r="W27">
        <f t="shared" si="15"/>
        <v>0.11899999999991451</v>
      </c>
      <c r="X27">
        <f t="shared" si="16"/>
        <v>1480.0774999999994</v>
      </c>
      <c r="Y27">
        <f t="shared" si="17"/>
        <v>5.1000000000158252E-2</v>
      </c>
    </row>
    <row r="28" spans="1:25" x14ac:dyDescent="0.3">
      <c r="A28" t="s">
        <v>29</v>
      </c>
      <c r="B28">
        <v>1492.9</v>
      </c>
      <c r="C28">
        <v>1493.7</v>
      </c>
      <c r="D28">
        <v>1492.6</v>
      </c>
      <c r="E28">
        <v>1493</v>
      </c>
      <c r="F28">
        <v>12783</v>
      </c>
      <c r="G28">
        <v>0</v>
      </c>
      <c r="H28">
        <f t="shared" si="0"/>
        <v>1493.1</v>
      </c>
      <c r="I28">
        <f t="shared" si="1"/>
        <v>1493.7</v>
      </c>
      <c r="J28">
        <f t="shared" si="2"/>
        <v>1492.6</v>
      </c>
      <c r="K28">
        <f t="shared" si="3"/>
        <v>1.1000000000001364</v>
      </c>
      <c r="L28">
        <f t="shared" si="4"/>
        <v>-0.1999999999998181</v>
      </c>
      <c r="M28" t="str">
        <f t="shared" si="5"/>
        <v>DOWN</v>
      </c>
      <c r="N28">
        <f t="shared" si="6"/>
        <v>-9.9999999999909051E-2</v>
      </c>
      <c r="O28">
        <f t="shared" si="7"/>
        <v>1.5</v>
      </c>
      <c r="P28">
        <f t="shared" si="8"/>
        <v>9.2000000000000455</v>
      </c>
      <c r="Q28">
        <f t="shared" si="9"/>
        <v>14.5</v>
      </c>
      <c r="R28">
        <f t="shared" si="10"/>
        <v>1491.09</v>
      </c>
      <c r="S28">
        <f t="shared" si="11"/>
        <v>0.92000000000007276</v>
      </c>
      <c r="T28">
        <f t="shared" si="12"/>
        <v>1482.7520000000002</v>
      </c>
      <c r="U28">
        <f t="shared" si="13"/>
        <v>0.29000000000041837</v>
      </c>
      <c r="V28">
        <f t="shared" si="14"/>
        <v>1481.69</v>
      </c>
      <c r="W28">
        <f t="shared" si="15"/>
        <v>0.12700000000018008</v>
      </c>
      <c r="X28">
        <f t="shared" si="16"/>
        <v>1480.0264999999993</v>
      </c>
      <c r="Y28">
        <f t="shared" si="17"/>
        <v>4.6499999999923602E-2</v>
      </c>
    </row>
    <row r="29" spans="1:25" x14ac:dyDescent="0.3">
      <c r="A29" t="s">
        <v>98</v>
      </c>
      <c r="B29">
        <v>1494</v>
      </c>
      <c r="C29">
        <v>1494.3</v>
      </c>
      <c r="D29">
        <v>1492.5</v>
      </c>
      <c r="E29">
        <v>1493.1</v>
      </c>
      <c r="F29">
        <v>14697</v>
      </c>
      <c r="G29">
        <v>0</v>
      </c>
      <c r="H29">
        <f t="shared" si="0"/>
        <v>1493.7</v>
      </c>
      <c r="I29">
        <f t="shared" si="1"/>
        <v>1494.3</v>
      </c>
      <c r="J29">
        <f t="shared" si="2"/>
        <v>1492.5</v>
      </c>
      <c r="K29">
        <f t="shared" si="3"/>
        <v>1.7999999999999545</v>
      </c>
      <c r="L29">
        <f t="shared" si="4"/>
        <v>0.29999999999995453</v>
      </c>
      <c r="M29" t="str">
        <f t="shared" si="5"/>
        <v>DOWN</v>
      </c>
      <c r="N29">
        <f t="shared" si="6"/>
        <v>-0.60000000000013642</v>
      </c>
      <c r="O29">
        <f t="shared" si="7"/>
        <v>2.1999999999998181</v>
      </c>
      <c r="P29">
        <f t="shared" si="8"/>
        <v>9.1999999999998181</v>
      </c>
      <c r="Q29">
        <f t="shared" si="9"/>
        <v>14.799999999999955</v>
      </c>
      <c r="R29">
        <f t="shared" si="10"/>
        <v>1490.1699999999998</v>
      </c>
      <c r="S29">
        <f t="shared" si="11"/>
        <v>0.92000000000007276</v>
      </c>
      <c r="T29">
        <f t="shared" si="12"/>
        <v>1482.4619999999998</v>
      </c>
      <c r="U29">
        <f t="shared" si="13"/>
        <v>0.29599999999936699</v>
      </c>
      <c r="V29">
        <f t="shared" si="14"/>
        <v>1481.5629999999999</v>
      </c>
      <c r="W29">
        <f t="shared" si="15"/>
        <v>0.13099999999985812</v>
      </c>
      <c r="X29">
        <f t="shared" si="16"/>
        <v>1479.9799999999993</v>
      </c>
      <c r="Y29">
        <f t="shared" si="17"/>
        <v>4.8999999999523425E-2</v>
      </c>
    </row>
    <row r="30" spans="1:25" x14ac:dyDescent="0.3">
      <c r="A30" t="s">
        <v>99</v>
      </c>
      <c r="B30">
        <v>1491.7</v>
      </c>
      <c r="C30">
        <v>1495.6</v>
      </c>
      <c r="D30">
        <v>1491.5</v>
      </c>
      <c r="E30">
        <v>1493.7</v>
      </c>
      <c r="F30">
        <v>35615</v>
      </c>
      <c r="G30">
        <v>0</v>
      </c>
      <c r="H30">
        <f t="shared" si="0"/>
        <v>1491.7</v>
      </c>
      <c r="I30">
        <f t="shared" si="1"/>
        <v>1495.6</v>
      </c>
      <c r="J30">
        <f t="shared" si="2"/>
        <v>1491.5</v>
      </c>
      <c r="K30">
        <f t="shared" si="3"/>
        <v>4.0999999999999091</v>
      </c>
      <c r="L30">
        <f t="shared" si="4"/>
        <v>0</v>
      </c>
      <c r="M30" t="str">
        <f t="shared" si="5"/>
        <v>UP</v>
      </c>
      <c r="N30">
        <f t="shared" si="6"/>
        <v>2</v>
      </c>
      <c r="O30">
        <f t="shared" si="7"/>
        <v>3.1000000000001364</v>
      </c>
      <c r="P30">
        <f t="shared" si="8"/>
        <v>10.400000000000091</v>
      </c>
      <c r="Q30">
        <f t="shared" si="9"/>
        <v>15.700000000000045</v>
      </c>
      <c r="R30">
        <f t="shared" si="10"/>
        <v>1489.2499999999998</v>
      </c>
      <c r="S30">
        <f t="shared" si="11"/>
        <v>1.0399999999999636</v>
      </c>
      <c r="T30">
        <f t="shared" si="12"/>
        <v>1482.1660000000004</v>
      </c>
      <c r="U30">
        <f t="shared" si="13"/>
        <v>0.31400000000007822</v>
      </c>
      <c r="V30">
        <f t="shared" si="14"/>
        <v>1481.432</v>
      </c>
      <c r="W30">
        <f t="shared" si="15"/>
        <v>0.13299999999981083</v>
      </c>
      <c r="X30">
        <f t="shared" si="16"/>
        <v>1479.9309999999998</v>
      </c>
      <c r="Y30">
        <f t="shared" si="17"/>
        <v>4.3499999999767169E-2</v>
      </c>
    </row>
    <row r="31" spans="1:25" x14ac:dyDescent="0.3">
      <c r="A31" t="s">
        <v>100</v>
      </c>
      <c r="B31">
        <v>1491.5</v>
      </c>
      <c r="C31">
        <v>1491.8</v>
      </c>
      <c r="D31">
        <v>1491</v>
      </c>
      <c r="E31">
        <v>1491.7</v>
      </c>
      <c r="F31">
        <v>12671</v>
      </c>
      <c r="G31">
        <v>0</v>
      </c>
      <c r="H31">
        <f t="shared" si="0"/>
        <v>1491.5</v>
      </c>
      <c r="I31">
        <f t="shared" si="1"/>
        <v>1491.8</v>
      </c>
      <c r="J31">
        <f t="shared" si="2"/>
        <v>1491</v>
      </c>
      <c r="K31">
        <f t="shared" si="3"/>
        <v>0.79999999999995453</v>
      </c>
      <c r="L31">
        <f t="shared" si="4"/>
        <v>0</v>
      </c>
      <c r="M31" t="str">
        <f t="shared" si="5"/>
        <v>UP</v>
      </c>
      <c r="N31">
        <f t="shared" si="6"/>
        <v>0.20000000000004547</v>
      </c>
      <c r="O31">
        <f t="shared" si="7"/>
        <v>2.2999999999999545</v>
      </c>
      <c r="P31">
        <f t="shared" si="8"/>
        <v>9.4000000000000909</v>
      </c>
      <c r="Q31">
        <f t="shared" si="9"/>
        <v>13.5</v>
      </c>
      <c r="R31">
        <f t="shared" si="10"/>
        <v>1488.2099999999998</v>
      </c>
      <c r="S31">
        <f t="shared" si="11"/>
        <v>0.94000000000005457</v>
      </c>
      <c r="T31">
        <f t="shared" si="12"/>
        <v>1481.8520000000003</v>
      </c>
      <c r="U31">
        <f t="shared" si="13"/>
        <v>0.26999999999998181</v>
      </c>
      <c r="V31">
        <f t="shared" si="14"/>
        <v>1481.2990000000002</v>
      </c>
      <c r="W31">
        <f t="shared" si="15"/>
        <v>0.10999999999989996</v>
      </c>
      <c r="X31">
        <f t="shared" si="16"/>
        <v>1479.8875</v>
      </c>
      <c r="Y31">
        <f t="shared" si="17"/>
        <v>3.4500000000207365E-2</v>
      </c>
    </row>
    <row r="32" spans="1:25" x14ac:dyDescent="0.3">
      <c r="A32" t="s">
        <v>101</v>
      </c>
      <c r="B32">
        <v>1491.5</v>
      </c>
      <c r="C32">
        <v>1491.8</v>
      </c>
      <c r="D32">
        <v>1490.3</v>
      </c>
      <c r="E32">
        <v>1491.5</v>
      </c>
      <c r="F32">
        <v>13029</v>
      </c>
      <c r="G32">
        <v>0</v>
      </c>
      <c r="H32">
        <f t="shared" si="0"/>
        <v>1491.5</v>
      </c>
      <c r="I32">
        <f t="shared" si="1"/>
        <v>1491.8</v>
      </c>
      <c r="J32">
        <f t="shared" si="2"/>
        <v>1490.3</v>
      </c>
      <c r="K32">
        <f t="shared" si="3"/>
        <v>1.5</v>
      </c>
      <c r="L32">
        <f t="shared" si="4"/>
        <v>0</v>
      </c>
      <c r="M32" t="str">
        <f t="shared" si="5"/>
        <v>DOWN</v>
      </c>
      <c r="N32">
        <f t="shared" si="6"/>
        <v>0</v>
      </c>
      <c r="O32">
        <f t="shared" si="7"/>
        <v>6</v>
      </c>
      <c r="P32">
        <f t="shared" si="8"/>
        <v>8.5999999999999091</v>
      </c>
      <c r="Q32">
        <f t="shared" si="9"/>
        <v>13.099999999999909</v>
      </c>
      <c r="R32">
        <f t="shared" si="10"/>
        <v>1487.2699999999998</v>
      </c>
      <c r="S32">
        <f t="shared" si="11"/>
        <v>0.86000000000012733</v>
      </c>
      <c r="T32">
        <f t="shared" si="12"/>
        <v>1481.5820000000003</v>
      </c>
      <c r="U32">
        <f t="shared" si="13"/>
        <v>0.26200000000039836</v>
      </c>
      <c r="V32">
        <f t="shared" si="14"/>
        <v>1481.1890000000003</v>
      </c>
      <c r="W32">
        <f t="shared" si="15"/>
        <v>0.1100000000003547</v>
      </c>
      <c r="X32">
        <f t="shared" si="16"/>
        <v>1479.8529999999998</v>
      </c>
      <c r="Y32">
        <f t="shared" si="17"/>
        <v>3.9000000000214641E-2</v>
      </c>
    </row>
    <row r="33" spans="1:25" x14ac:dyDescent="0.3">
      <c r="A33" t="s">
        <v>30</v>
      </c>
      <c r="B33">
        <v>1490.8</v>
      </c>
      <c r="C33">
        <v>1491.8</v>
      </c>
      <c r="D33">
        <v>1490.2</v>
      </c>
      <c r="E33">
        <v>1491.5</v>
      </c>
      <c r="F33">
        <v>13971</v>
      </c>
      <c r="G33">
        <v>0</v>
      </c>
      <c r="H33">
        <f t="shared" si="0"/>
        <v>1490.9</v>
      </c>
      <c r="I33">
        <f t="shared" si="1"/>
        <v>1491.8</v>
      </c>
      <c r="J33">
        <f t="shared" si="2"/>
        <v>1490.2</v>
      </c>
      <c r="K33">
        <f t="shared" si="3"/>
        <v>1.5999999999999091</v>
      </c>
      <c r="L33">
        <f t="shared" si="4"/>
        <v>-0.10000000000013642</v>
      </c>
      <c r="M33" t="str">
        <f t="shared" si="5"/>
        <v>UP</v>
      </c>
      <c r="N33">
        <f t="shared" si="6"/>
        <v>0.59999999999990905</v>
      </c>
      <c r="O33">
        <f t="shared" si="7"/>
        <v>7.7000000000000455</v>
      </c>
      <c r="P33">
        <f t="shared" si="8"/>
        <v>9.4000000000000909</v>
      </c>
      <c r="Q33">
        <f t="shared" si="9"/>
        <v>11.299999999999955</v>
      </c>
      <c r="R33">
        <f t="shared" si="10"/>
        <v>1486.4099999999996</v>
      </c>
      <c r="S33">
        <f t="shared" si="11"/>
        <v>0.9399999999998272</v>
      </c>
      <c r="T33">
        <f t="shared" si="12"/>
        <v>1481.32</v>
      </c>
      <c r="U33">
        <f t="shared" si="13"/>
        <v>0.22599999999965803</v>
      </c>
      <c r="V33">
        <f t="shared" si="14"/>
        <v>1481.079</v>
      </c>
      <c r="W33">
        <f t="shared" si="15"/>
        <v>0.11899999999968713</v>
      </c>
      <c r="X33">
        <f t="shared" si="16"/>
        <v>1479.8139999999996</v>
      </c>
      <c r="Y33">
        <f t="shared" si="17"/>
        <v>4.1499999999587089E-2</v>
      </c>
    </row>
    <row r="34" spans="1:25" x14ac:dyDescent="0.3">
      <c r="A34" t="s">
        <v>102</v>
      </c>
      <c r="B34">
        <v>1490.2</v>
      </c>
      <c r="C34">
        <v>1491</v>
      </c>
      <c r="D34">
        <v>1490</v>
      </c>
      <c r="E34">
        <v>1490.9</v>
      </c>
      <c r="F34">
        <v>10026</v>
      </c>
      <c r="G34">
        <v>0</v>
      </c>
      <c r="H34">
        <f t="shared" si="0"/>
        <v>1490.6</v>
      </c>
      <c r="I34">
        <f t="shared" si="1"/>
        <v>1491</v>
      </c>
      <c r="J34">
        <f t="shared" si="2"/>
        <v>1490</v>
      </c>
      <c r="K34">
        <f t="shared" si="3"/>
        <v>1</v>
      </c>
      <c r="L34">
        <f t="shared" si="4"/>
        <v>-0.39999999999986358</v>
      </c>
      <c r="M34" t="str">
        <f t="shared" si="5"/>
        <v>UP</v>
      </c>
      <c r="N34">
        <f t="shared" si="6"/>
        <v>0.3000000000001819</v>
      </c>
      <c r="O34">
        <f t="shared" si="7"/>
        <v>7</v>
      </c>
      <c r="P34">
        <f t="shared" si="8"/>
        <v>9.8000000000001819</v>
      </c>
      <c r="Q34">
        <f t="shared" si="9"/>
        <v>10.600000000000136</v>
      </c>
      <c r="R34">
        <f t="shared" si="10"/>
        <v>1485.4699999999998</v>
      </c>
      <c r="S34">
        <f t="shared" si="11"/>
        <v>0.97999999999979082</v>
      </c>
      <c r="T34">
        <f t="shared" si="12"/>
        <v>1481.0940000000003</v>
      </c>
      <c r="U34">
        <f t="shared" si="13"/>
        <v>0.21200000000021646</v>
      </c>
      <c r="V34">
        <f t="shared" si="14"/>
        <v>1480.9600000000003</v>
      </c>
      <c r="W34">
        <f t="shared" si="15"/>
        <v>0.11500000000023647</v>
      </c>
      <c r="X34">
        <f t="shared" si="16"/>
        <v>1479.7725</v>
      </c>
      <c r="Y34">
        <f t="shared" si="17"/>
        <v>2.1000000000185537E-2</v>
      </c>
    </row>
    <row r="35" spans="1:25" x14ac:dyDescent="0.3">
      <c r="A35" t="s">
        <v>103</v>
      </c>
      <c r="B35">
        <v>1489.5</v>
      </c>
      <c r="C35">
        <v>1492</v>
      </c>
      <c r="D35">
        <v>1489.3</v>
      </c>
      <c r="E35">
        <v>1490.6</v>
      </c>
      <c r="F35">
        <v>44885</v>
      </c>
      <c r="G35">
        <v>0</v>
      </c>
      <c r="H35">
        <f t="shared" si="0"/>
        <v>1489.4</v>
      </c>
      <c r="I35">
        <f t="shared" si="1"/>
        <v>1492</v>
      </c>
      <c r="J35">
        <f t="shared" si="2"/>
        <v>1489.3</v>
      </c>
      <c r="K35">
        <f t="shared" si="3"/>
        <v>2.7000000000000455</v>
      </c>
      <c r="L35">
        <f t="shared" si="4"/>
        <v>9.9999999999909051E-2</v>
      </c>
      <c r="M35" t="str">
        <f t="shared" si="5"/>
        <v>UP</v>
      </c>
      <c r="N35">
        <f t="shared" si="6"/>
        <v>1.1999999999998181</v>
      </c>
      <c r="O35">
        <f t="shared" si="7"/>
        <v>7.2999999999999545</v>
      </c>
      <c r="P35">
        <f t="shared" si="8"/>
        <v>10.299999999999955</v>
      </c>
      <c r="Q35">
        <f t="shared" si="9"/>
        <v>10.5</v>
      </c>
      <c r="R35">
        <f t="shared" si="10"/>
        <v>1484.49</v>
      </c>
      <c r="S35">
        <f t="shared" si="11"/>
        <v>1.0299999999999727</v>
      </c>
      <c r="T35">
        <f t="shared" si="12"/>
        <v>1480.8820000000001</v>
      </c>
      <c r="U35">
        <f t="shared" si="13"/>
        <v>0.20999999999958163</v>
      </c>
      <c r="V35">
        <f t="shared" si="14"/>
        <v>1480.845</v>
      </c>
      <c r="W35">
        <f t="shared" si="15"/>
        <v>0.12899999999967804</v>
      </c>
      <c r="X35">
        <f t="shared" si="16"/>
        <v>1479.7514999999999</v>
      </c>
      <c r="Y35">
        <f t="shared" si="17"/>
        <v>3.9999999999508873E-2</v>
      </c>
    </row>
    <row r="36" spans="1:25" x14ac:dyDescent="0.3">
      <c r="A36" t="s">
        <v>104</v>
      </c>
      <c r="B36">
        <v>1485.6</v>
      </c>
      <c r="C36">
        <v>1489.4</v>
      </c>
      <c r="D36">
        <v>1485.5</v>
      </c>
      <c r="E36">
        <v>1489.4</v>
      </c>
      <c r="F36">
        <v>37527</v>
      </c>
      <c r="G36">
        <v>0</v>
      </c>
      <c r="H36">
        <f t="shared" si="0"/>
        <v>1485.5</v>
      </c>
      <c r="I36">
        <f t="shared" si="1"/>
        <v>1489.4</v>
      </c>
      <c r="J36">
        <f t="shared" si="2"/>
        <v>1485.5</v>
      </c>
      <c r="K36">
        <f t="shared" si="3"/>
        <v>3.9000000000000909</v>
      </c>
      <c r="L36">
        <f t="shared" si="4"/>
        <v>9.9999999999909051E-2</v>
      </c>
      <c r="M36" t="str">
        <f t="shared" si="5"/>
        <v>UP</v>
      </c>
      <c r="N36">
        <f t="shared" si="6"/>
        <v>3.9000000000000909</v>
      </c>
      <c r="O36">
        <f t="shared" si="7"/>
        <v>7.1000000000001364</v>
      </c>
      <c r="P36">
        <f t="shared" si="8"/>
        <v>8.7000000000000455</v>
      </c>
      <c r="Q36">
        <f t="shared" si="9"/>
        <v>8.8000000000001819</v>
      </c>
      <c r="R36">
        <f t="shared" si="10"/>
        <v>1483.46</v>
      </c>
      <c r="S36">
        <f t="shared" si="11"/>
        <v>0.86999999999989086</v>
      </c>
      <c r="T36">
        <f t="shared" si="12"/>
        <v>1480.6720000000005</v>
      </c>
      <c r="U36">
        <f t="shared" si="13"/>
        <v>0.17599999999993088</v>
      </c>
      <c r="V36">
        <f t="shared" si="14"/>
        <v>1480.7160000000003</v>
      </c>
      <c r="W36">
        <f t="shared" si="15"/>
        <v>0.13400000000024193</v>
      </c>
      <c r="X36">
        <f t="shared" si="16"/>
        <v>1479.7115000000003</v>
      </c>
      <c r="Y36">
        <f t="shared" si="17"/>
        <v>3.8500000000112777E-2</v>
      </c>
    </row>
    <row r="37" spans="1:25" x14ac:dyDescent="0.3">
      <c r="A37" t="s">
        <v>105</v>
      </c>
      <c r="B37">
        <v>1483.6</v>
      </c>
      <c r="C37">
        <v>1486.9</v>
      </c>
      <c r="D37">
        <v>1483.2</v>
      </c>
      <c r="E37">
        <v>1485.5</v>
      </c>
      <c r="F37">
        <v>79237</v>
      </c>
      <c r="G37">
        <v>0</v>
      </c>
      <c r="H37">
        <f t="shared" si="0"/>
        <v>1483.8</v>
      </c>
      <c r="I37">
        <f t="shared" si="1"/>
        <v>1486.9</v>
      </c>
      <c r="J37">
        <f t="shared" si="2"/>
        <v>1483.2</v>
      </c>
      <c r="K37">
        <f t="shared" si="3"/>
        <v>3.7000000000000455</v>
      </c>
      <c r="L37">
        <f t="shared" si="4"/>
        <v>-0.20000000000004547</v>
      </c>
      <c r="M37" t="str">
        <f t="shared" si="5"/>
        <v>UP</v>
      </c>
      <c r="N37">
        <f t="shared" si="6"/>
        <v>1.7000000000000455</v>
      </c>
      <c r="O37">
        <f t="shared" si="7"/>
        <v>2.5999999999999091</v>
      </c>
      <c r="P37">
        <f t="shared" si="8"/>
        <v>5.0999999999999091</v>
      </c>
      <c r="Q37">
        <f t="shared" si="9"/>
        <v>5.5</v>
      </c>
      <c r="R37">
        <f t="shared" si="10"/>
        <v>1482.5900000000001</v>
      </c>
      <c r="S37">
        <f t="shared" si="11"/>
        <v>0.50999999999999091</v>
      </c>
      <c r="T37">
        <f t="shared" si="12"/>
        <v>1480.4960000000005</v>
      </c>
      <c r="U37">
        <f t="shared" si="13"/>
        <v>0.11000000000012733</v>
      </c>
      <c r="V37">
        <f t="shared" si="14"/>
        <v>1480.5820000000001</v>
      </c>
      <c r="W37">
        <f t="shared" si="15"/>
        <v>9.6000000000003638E-2</v>
      </c>
      <c r="X37">
        <f t="shared" si="16"/>
        <v>1479.6730000000002</v>
      </c>
      <c r="Y37">
        <f t="shared" si="17"/>
        <v>1.6000000000076398E-2</v>
      </c>
    </row>
    <row r="38" spans="1:25" x14ac:dyDescent="0.3">
      <c r="A38" t="s">
        <v>31</v>
      </c>
      <c r="B38">
        <v>1483.9</v>
      </c>
      <c r="C38">
        <v>1484</v>
      </c>
      <c r="D38">
        <v>1482.9</v>
      </c>
      <c r="E38">
        <v>1483.8</v>
      </c>
      <c r="F38">
        <v>25723</v>
      </c>
      <c r="G38">
        <v>0</v>
      </c>
      <c r="H38">
        <f t="shared" si="0"/>
        <v>1483.9</v>
      </c>
      <c r="I38">
        <f t="shared" si="1"/>
        <v>1484</v>
      </c>
      <c r="J38">
        <f t="shared" si="2"/>
        <v>1482.9</v>
      </c>
      <c r="K38">
        <f t="shared" si="3"/>
        <v>1.0999999999999091</v>
      </c>
      <c r="L38">
        <f t="shared" si="4"/>
        <v>0</v>
      </c>
      <c r="M38" t="str">
        <f t="shared" si="5"/>
        <v>DOWN</v>
      </c>
      <c r="N38">
        <f t="shared" si="6"/>
        <v>-0.10000000000013642</v>
      </c>
      <c r="O38">
        <f t="shared" si="7"/>
        <v>1.7000000000000455</v>
      </c>
      <c r="P38">
        <f t="shared" si="8"/>
        <v>3.2999999999999545</v>
      </c>
      <c r="Q38">
        <f t="shared" si="9"/>
        <v>3.5999999999999091</v>
      </c>
      <c r="R38">
        <f t="shared" si="10"/>
        <v>1482.0800000000002</v>
      </c>
      <c r="S38">
        <f t="shared" si="11"/>
        <v>0.33000000000015461</v>
      </c>
      <c r="T38">
        <f t="shared" si="12"/>
        <v>1480.3860000000004</v>
      </c>
      <c r="U38">
        <f t="shared" si="13"/>
        <v>7.1999999999889042E-2</v>
      </c>
      <c r="V38">
        <f t="shared" si="14"/>
        <v>1480.4860000000001</v>
      </c>
      <c r="W38">
        <f t="shared" si="15"/>
        <v>6.9999999999708962E-2</v>
      </c>
      <c r="X38">
        <f t="shared" si="16"/>
        <v>1479.6570000000002</v>
      </c>
      <c r="Y38">
        <f t="shared" si="17"/>
        <v>0</v>
      </c>
    </row>
    <row r="39" spans="1:25" x14ac:dyDescent="0.3">
      <c r="A39" t="s">
        <v>106</v>
      </c>
      <c r="B39">
        <v>1483.3</v>
      </c>
      <c r="C39">
        <v>1484</v>
      </c>
      <c r="D39">
        <v>1483.1</v>
      </c>
      <c r="E39">
        <v>1483.9</v>
      </c>
      <c r="F39">
        <v>10972</v>
      </c>
      <c r="G39">
        <v>0</v>
      </c>
      <c r="H39">
        <f t="shared" si="0"/>
        <v>1483.3</v>
      </c>
      <c r="I39">
        <f t="shared" si="1"/>
        <v>1484</v>
      </c>
      <c r="J39">
        <f t="shared" si="2"/>
        <v>1483.1</v>
      </c>
      <c r="K39">
        <f t="shared" si="3"/>
        <v>0.90000000000009095</v>
      </c>
      <c r="L39">
        <f t="shared" si="4"/>
        <v>0</v>
      </c>
      <c r="M39" t="str">
        <f t="shared" si="5"/>
        <v>UP</v>
      </c>
      <c r="N39">
        <f t="shared" si="6"/>
        <v>0.60000000000013642</v>
      </c>
      <c r="O39">
        <f t="shared" si="7"/>
        <v>2.8000000000001819</v>
      </c>
      <c r="P39">
        <f t="shared" si="8"/>
        <v>3.6000000000001364</v>
      </c>
      <c r="Q39">
        <f t="shared" si="9"/>
        <v>3.8000000000001819</v>
      </c>
      <c r="R39">
        <f t="shared" si="10"/>
        <v>1481.75</v>
      </c>
      <c r="S39">
        <f t="shared" si="11"/>
        <v>0.36000000000012733</v>
      </c>
      <c r="T39">
        <f t="shared" si="12"/>
        <v>1480.3140000000005</v>
      </c>
      <c r="U39">
        <f t="shared" si="13"/>
        <v>7.6000000000021828E-2</v>
      </c>
      <c r="V39">
        <f t="shared" si="14"/>
        <v>1480.4160000000004</v>
      </c>
      <c r="W39">
        <f t="shared" si="15"/>
        <v>8.3000000000311047E-2</v>
      </c>
      <c r="X39">
        <f t="shared" si="16"/>
        <v>1479.6570000000002</v>
      </c>
      <c r="Y39">
        <f t="shared" si="17"/>
        <v>7.4195000000001983</v>
      </c>
    </row>
    <row r="40" spans="1:25" x14ac:dyDescent="0.3">
      <c r="A40" t="s">
        <v>107</v>
      </c>
      <c r="B40">
        <v>1482.3</v>
      </c>
      <c r="C40">
        <v>1483.8</v>
      </c>
      <c r="D40">
        <v>1482</v>
      </c>
      <c r="E40">
        <v>1483.3</v>
      </c>
      <c r="F40">
        <v>38841</v>
      </c>
      <c r="G40">
        <v>0</v>
      </c>
      <c r="H40">
        <f t="shared" si="0"/>
        <v>1482.3</v>
      </c>
      <c r="I40">
        <f t="shared" si="1"/>
        <v>1483.8</v>
      </c>
      <c r="J40">
        <f t="shared" si="2"/>
        <v>1482</v>
      </c>
      <c r="K40">
        <f t="shared" si="3"/>
        <v>1.7999999999999545</v>
      </c>
      <c r="L40">
        <f t="shared" si="4"/>
        <v>0</v>
      </c>
      <c r="M40" t="str">
        <f t="shared" si="5"/>
        <v>UP</v>
      </c>
      <c r="N40">
        <f t="shared" si="6"/>
        <v>1</v>
      </c>
      <c r="O40">
        <f t="shared" si="7"/>
        <v>3</v>
      </c>
      <c r="P40">
        <f t="shared" si="8"/>
        <v>2.5</v>
      </c>
      <c r="Q40">
        <f t="shared" si="9"/>
        <v>3</v>
      </c>
      <c r="R40">
        <f t="shared" si="10"/>
        <v>1481.3899999999999</v>
      </c>
      <c r="S40">
        <f t="shared" si="11"/>
        <v>0.25</v>
      </c>
      <c r="T40">
        <f t="shared" si="12"/>
        <v>1480.2380000000005</v>
      </c>
      <c r="U40">
        <f t="shared" si="13"/>
        <v>5.999999999994543E-2</v>
      </c>
      <c r="V40">
        <f t="shared" si="14"/>
        <v>1480.3330000000001</v>
      </c>
      <c r="W40">
        <f t="shared" si="15"/>
        <v>7.3999999999841748E-2</v>
      </c>
      <c r="X40">
        <f t="shared" si="16"/>
        <v>1472.2375</v>
      </c>
    </row>
    <row r="41" spans="1:25" x14ac:dyDescent="0.3">
      <c r="A41" t="s">
        <v>108</v>
      </c>
      <c r="B41">
        <v>1482.5</v>
      </c>
      <c r="C41">
        <v>1483</v>
      </c>
      <c r="D41">
        <v>1482.1</v>
      </c>
      <c r="E41">
        <v>1482.3</v>
      </c>
      <c r="F41">
        <v>6801</v>
      </c>
      <c r="G41">
        <v>0</v>
      </c>
      <c r="H41">
        <f t="shared" si="0"/>
        <v>1482.9</v>
      </c>
      <c r="I41">
        <f t="shared" si="1"/>
        <v>1483</v>
      </c>
      <c r="J41">
        <f t="shared" si="2"/>
        <v>1482.1</v>
      </c>
      <c r="K41">
        <f t="shared" si="3"/>
        <v>0.90000000000009095</v>
      </c>
      <c r="L41">
        <f t="shared" si="4"/>
        <v>-0.40000000000009095</v>
      </c>
      <c r="M41" t="str">
        <f t="shared" si="5"/>
        <v>DOWN</v>
      </c>
      <c r="N41">
        <f t="shared" si="6"/>
        <v>-0.60000000000013642</v>
      </c>
      <c r="O41">
        <f t="shared" si="7"/>
        <v>1.5999999999999091</v>
      </c>
      <c r="P41">
        <f t="shared" si="8"/>
        <v>1.0999999999999091</v>
      </c>
      <c r="Q41">
        <f t="shared" si="9"/>
        <v>2.2999999999999545</v>
      </c>
      <c r="R41">
        <f t="shared" si="10"/>
        <v>1481.1399999999999</v>
      </c>
      <c r="S41">
        <f t="shared" si="11"/>
        <v>0.10999999999989996</v>
      </c>
      <c r="T41">
        <f t="shared" si="12"/>
        <v>1480.1780000000006</v>
      </c>
      <c r="U41">
        <f t="shared" si="13"/>
        <v>4.6000000000049113E-2</v>
      </c>
      <c r="V41">
        <f t="shared" si="14"/>
        <v>1480.2590000000002</v>
      </c>
      <c r="W41">
        <f t="shared" si="15"/>
        <v>6.5999999999803549E-2</v>
      </c>
      <c r="X41">
        <f t="shared" si="16"/>
        <v>1464.8209999999997</v>
      </c>
    </row>
    <row r="42" spans="1:25" x14ac:dyDescent="0.3">
      <c r="A42" t="s">
        <v>109</v>
      </c>
      <c r="B42">
        <v>1481.6</v>
      </c>
      <c r="C42">
        <v>1482.9</v>
      </c>
      <c r="D42">
        <v>1481.5</v>
      </c>
      <c r="E42">
        <v>1482.9</v>
      </c>
      <c r="F42">
        <v>7710</v>
      </c>
      <c r="G42">
        <v>0</v>
      </c>
      <c r="H42">
        <f t="shared" si="0"/>
        <v>1482.1</v>
      </c>
      <c r="I42">
        <f t="shared" si="1"/>
        <v>1482.9</v>
      </c>
      <c r="J42">
        <f t="shared" si="2"/>
        <v>1481.5</v>
      </c>
      <c r="K42">
        <f t="shared" si="3"/>
        <v>1.4000000000000909</v>
      </c>
      <c r="L42">
        <f t="shared" si="4"/>
        <v>-0.5</v>
      </c>
      <c r="M42" t="str">
        <f t="shared" si="5"/>
        <v>UP</v>
      </c>
      <c r="N42">
        <f t="shared" si="6"/>
        <v>0.8000000000001819</v>
      </c>
      <c r="O42">
        <f t="shared" si="7"/>
        <v>2.5</v>
      </c>
      <c r="P42">
        <f t="shared" si="8"/>
        <v>2.3000000000001819</v>
      </c>
      <c r="Q42">
        <f t="shared" si="9"/>
        <v>2.7000000000000455</v>
      </c>
      <c r="R42">
        <f t="shared" si="10"/>
        <v>1481.03</v>
      </c>
      <c r="S42">
        <f t="shared" si="11"/>
        <v>0.23000000000001819</v>
      </c>
      <c r="T42">
        <f t="shared" si="12"/>
        <v>1480.1320000000005</v>
      </c>
      <c r="U42">
        <f t="shared" si="13"/>
        <v>5.4000000000314685E-2</v>
      </c>
      <c r="V42">
        <f t="shared" si="14"/>
        <v>1480.1930000000004</v>
      </c>
      <c r="W42">
        <f t="shared" si="15"/>
        <v>6.8000000000211003E-2</v>
      </c>
      <c r="X42">
        <f t="shared" si="16"/>
        <v>1457.4094999999998</v>
      </c>
    </row>
    <row r="43" spans="1:25" x14ac:dyDescent="0.3">
      <c r="A43" t="s">
        <v>32</v>
      </c>
      <c r="B43">
        <v>1481</v>
      </c>
      <c r="C43">
        <v>1482.3</v>
      </c>
      <c r="D43">
        <v>1481</v>
      </c>
      <c r="E43">
        <v>1482.1</v>
      </c>
      <c r="F43">
        <v>7912</v>
      </c>
      <c r="G43">
        <v>0</v>
      </c>
      <c r="H43">
        <f t="shared" si="0"/>
        <v>1481.1</v>
      </c>
      <c r="I43">
        <f t="shared" si="1"/>
        <v>1482.3</v>
      </c>
      <c r="J43">
        <f t="shared" si="2"/>
        <v>1481</v>
      </c>
      <c r="K43">
        <f t="shared" si="3"/>
        <v>1.2999999999999545</v>
      </c>
      <c r="L43">
        <f t="shared" si="4"/>
        <v>-9.9999999999909051E-2</v>
      </c>
      <c r="M43" t="str">
        <f t="shared" si="5"/>
        <v>UP</v>
      </c>
      <c r="N43">
        <f t="shared" si="6"/>
        <v>1</v>
      </c>
      <c r="O43">
        <f t="shared" si="7"/>
        <v>1.5999999999999091</v>
      </c>
      <c r="P43">
        <f t="shared" si="8"/>
        <v>1.3999999999998636</v>
      </c>
      <c r="Q43">
        <f t="shared" si="9"/>
        <v>1.7999999999999545</v>
      </c>
      <c r="R43">
        <f t="shared" si="10"/>
        <v>1480.8</v>
      </c>
      <c r="S43">
        <f t="shared" si="11"/>
        <v>0.13999999999987267</v>
      </c>
      <c r="T43">
        <f t="shared" si="12"/>
        <v>1480.0780000000002</v>
      </c>
      <c r="U43">
        <f t="shared" si="13"/>
        <v>3.5999999999830834E-2</v>
      </c>
      <c r="V43">
        <f t="shared" si="14"/>
        <v>1480.1250000000002</v>
      </c>
      <c r="W43">
        <f t="shared" si="15"/>
        <v>5.3000000000110958E-2</v>
      </c>
      <c r="X43">
        <f t="shared" si="16"/>
        <v>1449.9949999999997</v>
      </c>
    </row>
    <row r="44" spans="1:25" x14ac:dyDescent="0.3">
      <c r="A44" t="s">
        <v>110</v>
      </c>
      <c r="B44">
        <v>1480.5</v>
      </c>
      <c r="C44">
        <v>1481.1</v>
      </c>
      <c r="D44">
        <v>1480.3</v>
      </c>
      <c r="E44">
        <v>1481.1</v>
      </c>
      <c r="F44">
        <v>5493</v>
      </c>
      <c r="G44">
        <v>0</v>
      </c>
      <c r="H44">
        <f t="shared" si="0"/>
        <v>1480.3</v>
      </c>
      <c r="I44">
        <f t="shared" si="1"/>
        <v>1481.1</v>
      </c>
      <c r="J44">
        <f t="shared" si="2"/>
        <v>1480.3</v>
      </c>
      <c r="K44">
        <f t="shared" si="3"/>
        <v>0.79999999999995453</v>
      </c>
      <c r="L44">
        <f t="shared" si="4"/>
        <v>0.20000000000004547</v>
      </c>
      <c r="M44" t="str">
        <f t="shared" si="5"/>
        <v>UP</v>
      </c>
      <c r="N44">
        <f t="shared" si="6"/>
        <v>0.79999999999995453</v>
      </c>
      <c r="O44">
        <f t="shared" si="7"/>
        <v>0.79999999999995453</v>
      </c>
      <c r="P44">
        <f t="shared" si="8"/>
        <v>-0.20000000000004547</v>
      </c>
      <c r="Q44">
        <f t="shared" si="9"/>
        <v>0.79999999999995453</v>
      </c>
      <c r="R44">
        <f t="shared" si="10"/>
        <v>1480.66</v>
      </c>
      <c r="S44">
        <f t="shared" si="11"/>
        <v>-1.999999999998181E-2</v>
      </c>
      <c r="T44">
        <f t="shared" si="12"/>
        <v>1480.0420000000004</v>
      </c>
      <c r="U44">
        <f t="shared" si="13"/>
        <v>1.6000000000076398E-2</v>
      </c>
      <c r="V44">
        <f t="shared" si="14"/>
        <v>1480.0720000000001</v>
      </c>
      <c r="W44">
        <f t="shared" si="15"/>
        <v>3.8000000000238288E-2</v>
      </c>
      <c r="X44">
        <f t="shared" si="16"/>
        <v>1442.5844999999999</v>
      </c>
    </row>
    <row r="45" spans="1:25" x14ac:dyDescent="0.3">
      <c r="A45" t="s">
        <v>111</v>
      </c>
      <c r="B45">
        <v>1480.7</v>
      </c>
      <c r="C45">
        <v>1481</v>
      </c>
      <c r="D45">
        <v>1480.2</v>
      </c>
      <c r="E45">
        <v>1480.3</v>
      </c>
      <c r="F45">
        <v>7091</v>
      </c>
      <c r="G45">
        <v>0</v>
      </c>
      <c r="H45">
        <f t="shared" si="0"/>
        <v>1480.7</v>
      </c>
      <c r="I45">
        <f t="shared" si="1"/>
        <v>1481</v>
      </c>
      <c r="J45">
        <f t="shared" si="2"/>
        <v>1480.2</v>
      </c>
      <c r="K45">
        <f t="shared" si="3"/>
        <v>0.79999999999995453</v>
      </c>
      <c r="L45">
        <f t="shared" si="4"/>
        <v>0</v>
      </c>
      <c r="M45" t="str">
        <f t="shared" si="5"/>
        <v>DOWN</v>
      </c>
      <c r="N45">
        <f t="shared" si="6"/>
        <v>-0.40000000000009095</v>
      </c>
      <c r="O45">
        <f t="shared" si="7"/>
        <v>-0.5</v>
      </c>
      <c r="P45">
        <f t="shared" si="8"/>
        <v>-0.60000000000013642</v>
      </c>
      <c r="Q45">
        <f t="shared" si="9"/>
        <v>-0.10000000000013642</v>
      </c>
      <c r="R45">
        <f t="shared" si="10"/>
        <v>1480.68</v>
      </c>
      <c r="S45">
        <f t="shared" si="11"/>
        <v>-6.0000000000172804E-2</v>
      </c>
      <c r="T45">
        <f t="shared" si="12"/>
        <v>1480.0260000000003</v>
      </c>
      <c r="U45">
        <f t="shared" si="13"/>
        <v>-1.9999999999527063E-3</v>
      </c>
      <c r="V45">
        <f t="shared" si="14"/>
        <v>1480.0339999999999</v>
      </c>
      <c r="W45">
        <f t="shared" si="15"/>
        <v>3.1999999999698048E-2</v>
      </c>
      <c r="X45">
        <f t="shared" si="16"/>
        <v>1435.1789999999999</v>
      </c>
    </row>
    <row r="46" spans="1:25" x14ac:dyDescent="0.3">
      <c r="A46" t="s">
        <v>112</v>
      </c>
      <c r="B46">
        <v>1480.2</v>
      </c>
      <c r="C46">
        <v>1480.8</v>
      </c>
      <c r="D46">
        <v>1480.2</v>
      </c>
      <c r="E46">
        <v>1480.7</v>
      </c>
      <c r="F46">
        <v>4304</v>
      </c>
      <c r="G46">
        <v>0</v>
      </c>
      <c r="H46">
        <f t="shared" si="0"/>
        <v>1480.4</v>
      </c>
      <c r="I46">
        <f t="shared" si="1"/>
        <v>1480.8</v>
      </c>
      <c r="J46">
        <f t="shared" si="2"/>
        <v>1480.2</v>
      </c>
      <c r="K46">
        <f t="shared" si="3"/>
        <v>0.59999999999990905</v>
      </c>
      <c r="L46">
        <f t="shared" si="4"/>
        <v>-0.20000000000004547</v>
      </c>
      <c r="M46" t="str">
        <f t="shared" si="5"/>
        <v>UP</v>
      </c>
      <c r="N46">
        <f t="shared" si="6"/>
        <v>0.29999999999995453</v>
      </c>
      <c r="O46">
        <f t="shared" si="7"/>
        <v>-0.5</v>
      </c>
      <c r="P46">
        <f t="shared" si="8"/>
        <v>0.60000000000013642</v>
      </c>
      <c r="Q46">
        <f t="shared" si="9"/>
        <v>0.29999999999995453</v>
      </c>
      <c r="R46">
        <f t="shared" si="10"/>
        <v>1480.7400000000002</v>
      </c>
      <c r="S46">
        <f t="shared" si="11"/>
        <v>6.0000000000400178E-2</v>
      </c>
      <c r="T46">
        <f t="shared" si="12"/>
        <v>1480.0280000000002</v>
      </c>
      <c r="U46">
        <f t="shared" si="13"/>
        <v>6.0000000003128662E-3</v>
      </c>
      <c r="V46">
        <f t="shared" si="14"/>
        <v>1480.0020000000002</v>
      </c>
      <c r="W46">
        <f t="shared" si="15"/>
        <v>3.6000000000512955E-2</v>
      </c>
      <c r="X46">
        <f t="shared" si="16"/>
        <v>1427.7774999999999</v>
      </c>
    </row>
    <row r="47" spans="1:25" x14ac:dyDescent="0.3">
      <c r="A47" t="s">
        <v>113</v>
      </c>
      <c r="B47">
        <v>1480.2</v>
      </c>
      <c r="C47">
        <v>1480.6</v>
      </c>
      <c r="D47">
        <v>1480</v>
      </c>
      <c r="E47">
        <v>1480.4</v>
      </c>
      <c r="F47">
        <v>6389</v>
      </c>
      <c r="G47">
        <v>0</v>
      </c>
      <c r="H47">
        <f t="shared" si="0"/>
        <v>1480.5</v>
      </c>
      <c r="I47">
        <f t="shared" si="1"/>
        <v>1480.6</v>
      </c>
      <c r="J47">
        <f t="shared" si="2"/>
        <v>1480</v>
      </c>
      <c r="K47">
        <f t="shared" si="3"/>
        <v>0.59999999999990905</v>
      </c>
      <c r="L47">
        <f t="shared" si="4"/>
        <v>-0.29999999999995453</v>
      </c>
      <c r="M47" t="str">
        <f t="shared" si="5"/>
        <v>DOWN</v>
      </c>
      <c r="N47">
        <f t="shared" si="6"/>
        <v>-9.9999999999909051E-2</v>
      </c>
      <c r="O47">
        <f t="shared" si="7"/>
        <v>-0.1999999999998181</v>
      </c>
      <c r="P47">
        <f t="shared" si="8"/>
        <v>-0.39999999999986358</v>
      </c>
      <c r="Q47">
        <f t="shared" si="9"/>
        <v>-0.1999999999998181</v>
      </c>
      <c r="R47">
        <f t="shared" si="10"/>
        <v>1480.6799999999998</v>
      </c>
      <c r="S47">
        <f t="shared" si="11"/>
        <v>-3.999999999996362E-2</v>
      </c>
      <c r="T47">
        <f t="shared" si="12"/>
        <v>1480.0219999999999</v>
      </c>
      <c r="U47">
        <f t="shared" si="13"/>
        <v>-4.0000000001327862E-3</v>
      </c>
      <c r="V47">
        <f t="shared" si="14"/>
        <v>1479.9659999999997</v>
      </c>
      <c r="W47">
        <f t="shared" si="15"/>
        <v>2.8999999999768988E-2</v>
      </c>
      <c r="X47">
        <f t="shared" si="16"/>
        <v>1420.374</v>
      </c>
    </row>
    <row r="48" spans="1:25" x14ac:dyDescent="0.3">
      <c r="A48" t="s">
        <v>33</v>
      </c>
      <c r="B48">
        <v>1480.5</v>
      </c>
      <c r="C48">
        <v>1480.9</v>
      </c>
      <c r="D48">
        <v>1480.2</v>
      </c>
      <c r="E48">
        <v>1480.5</v>
      </c>
      <c r="F48">
        <v>6032</v>
      </c>
      <c r="G48">
        <v>0</v>
      </c>
      <c r="H48">
        <f t="shared" si="0"/>
        <v>1480.3</v>
      </c>
      <c r="I48">
        <f t="shared" si="1"/>
        <v>1480.9</v>
      </c>
      <c r="J48">
        <f t="shared" si="2"/>
        <v>1480.2</v>
      </c>
      <c r="K48">
        <f t="shared" si="3"/>
        <v>0.70000000000004547</v>
      </c>
      <c r="L48">
        <f t="shared" si="4"/>
        <v>0.20000000000004547</v>
      </c>
      <c r="M48" t="str">
        <f t="shared" si="5"/>
        <v>UP</v>
      </c>
      <c r="N48">
        <f t="shared" si="6"/>
        <v>0.20000000000004547</v>
      </c>
      <c r="O48">
        <f t="shared" si="7"/>
        <v>-0.20000000000004547</v>
      </c>
      <c r="P48">
        <f t="shared" si="8"/>
        <v>0.20000000000004547</v>
      </c>
      <c r="Q48">
        <f t="shared" si="9"/>
        <v>-0.70000000000004547</v>
      </c>
      <c r="R48">
        <f t="shared" si="10"/>
        <v>1480.7199999999998</v>
      </c>
      <c r="S48">
        <f t="shared" si="11"/>
        <v>1.999999999998181E-2</v>
      </c>
      <c r="T48">
        <f t="shared" si="12"/>
        <v>1480.0260000000001</v>
      </c>
      <c r="U48">
        <f t="shared" si="13"/>
        <v>-1.3999999999896318E-2</v>
      </c>
      <c r="V48">
        <f t="shared" si="14"/>
        <v>1479.9369999999999</v>
      </c>
      <c r="W48">
        <f t="shared" si="15"/>
        <v>2.9999999999972715E-2</v>
      </c>
      <c r="X48">
        <f t="shared" si="16"/>
        <v>1412.9720000000002</v>
      </c>
    </row>
    <row r="49" spans="1:24" x14ac:dyDescent="0.3">
      <c r="A49" t="s">
        <v>114</v>
      </c>
      <c r="B49">
        <v>1480.8</v>
      </c>
      <c r="C49">
        <v>1481</v>
      </c>
      <c r="D49">
        <v>1480.3</v>
      </c>
      <c r="E49">
        <v>1480.3</v>
      </c>
      <c r="F49">
        <v>4758</v>
      </c>
      <c r="G49">
        <v>0</v>
      </c>
      <c r="H49">
        <f t="shared" si="0"/>
        <v>1480.8</v>
      </c>
      <c r="I49">
        <f t="shared" si="1"/>
        <v>1481</v>
      </c>
      <c r="J49">
        <f t="shared" si="2"/>
        <v>1480.3</v>
      </c>
      <c r="K49">
        <f t="shared" si="3"/>
        <v>0.70000000000004547</v>
      </c>
      <c r="L49">
        <f t="shared" si="4"/>
        <v>0</v>
      </c>
      <c r="M49" t="str">
        <f t="shared" si="5"/>
        <v>DOWN</v>
      </c>
      <c r="N49">
        <f t="shared" si="6"/>
        <v>-0.5</v>
      </c>
      <c r="O49">
        <f t="shared" si="7"/>
        <v>-1</v>
      </c>
      <c r="P49">
        <f t="shared" si="8"/>
        <v>-0.29999999999995453</v>
      </c>
      <c r="Q49">
        <f t="shared" si="9"/>
        <v>-0.79999999999995453</v>
      </c>
      <c r="R49">
        <f t="shared" si="10"/>
        <v>1480.6999999999998</v>
      </c>
      <c r="S49">
        <f t="shared" si="11"/>
        <v>-3.0000000000200089E-2</v>
      </c>
      <c r="T49">
        <f t="shared" si="12"/>
        <v>1480.04</v>
      </c>
      <c r="U49">
        <f t="shared" si="13"/>
        <v>-1.6000000000076398E-2</v>
      </c>
      <c r="V49">
        <f t="shared" si="14"/>
        <v>1479.9069999999999</v>
      </c>
      <c r="W49">
        <f t="shared" si="15"/>
        <v>3.2999999999901775E-2</v>
      </c>
      <c r="X49">
        <f t="shared" si="16"/>
        <v>1405.5695000000001</v>
      </c>
    </row>
    <row r="50" spans="1:24" x14ac:dyDescent="0.3">
      <c r="A50" t="s">
        <v>115</v>
      </c>
      <c r="B50">
        <v>1481.2</v>
      </c>
      <c r="C50">
        <v>1481.3</v>
      </c>
      <c r="D50">
        <v>1480.5</v>
      </c>
      <c r="E50">
        <v>1480.8</v>
      </c>
      <c r="F50">
        <v>3927</v>
      </c>
      <c r="G50">
        <v>0</v>
      </c>
      <c r="H50">
        <f t="shared" si="0"/>
        <v>1481.2</v>
      </c>
      <c r="I50">
        <f t="shared" si="1"/>
        <v>1481.3</v>
      </c>
      <c r="J50">
        <f t="shared" si="2"/>
        <v>1480.5</v>
      </c>
      <c r="K50">
        <f t="shared" si="3"/>
        <v>0.79999999999995453</v>
      </c>
      <c r="L50">
        <f t="shared" si="4"/>
        <v>0</v>
      </c>
      <c r="M50" t="str">
        <f t="shared" si="5"/>
        <v>DOWN</v>
      </c>
      <c r="N50">
        <f t="shared" si="6"/>
        <v>-0.40000000000009095</v>
      </c>
      <c r="O50">
        <f t="shared" si="7"/>
        <v>-0.10000000000013642</v>
      </c>
      <c r="P50">
        <f t="shared" si="8"/>
        <v>-0.20000000000004547</v>
      </c>
      <c r="Q50">
        <f t="shared" si="9"/>
        <v>0.39999999999986358</v>
      </c>
      <c r="R50">
        <f t="shared" si="10"/>
        <v>1480.73</v>
      </c>
      <c r="S50">
        <f t="shared" si="11"/>
        <v>-1.999999999998181E-2</v>
      </c>
      <c r="T50">
        <f t="shared" si="12"/>
        <v>1480.056</v>
      </c>
      <c r="U50">
        <f t="shared" si="13"/>
        <v>7.9999999998108251E-3</v>
      </c>
      <c r="V50">
        <f t="shared" si="14"/>
        <v>1479.874</v>
      </c>
      <c r="W50">
        <f t="shared" si="15"/>
        <v>5.0000000000181899E-2</v>
      </c>
      <c r="X50">
        <f t="shared" si="16"/>
        <v>1398.1680000000001</v>
      </c>
    </row>
    <row r="51" spans="1:24" x14ac:dyDescent="0.3">
      <c r="A51" t="s">
        <v>116</v>
      </c>
      <c r="B51">
        <v>1480.6</v>
      </c>
      <c r="C51">
        <v>1481.3</v>
      </c>
      <c r="D51">
        <v>1480</v>
      </c>
      <c r="E51">
        <v>1481.2</v>
      </c>
      <c r="F51">
        <v>9631</v>
      </c>
      <c r="G51">
        <v>0</v>
      </c>
      <c r="H51">
        <f t="shared" si="0"/>
        <v>1480.6</v>
      </c>
      <c r="I51">
        <f t="shared" si="1"/>
        <v>1481.3</v>
      </c>
      <c r="J51">
        <f t="shared" si="2"/>
        <v>1480</v>
      </c>
      <c r="K51">
        <f t="shared" si="3"/>
        <v>1.2999999999999545</v>
      </c>
      <c r="L51">
        <f t="shared" si="4"/>
        <v>0</v>
      </c>
      <c r="M51" t="str">
        <f t="shared" si="5"/>
        <v>UP</v>
      </c>
      <c r="N51">
        <f t="shared" si="6"/>
        <v>0.60000000000013642</v>
      </c>
      <c r="O51">
        <f t="shared" si="7"/>
        <v>1.1000000000001364</v>
      </c>
      <c r="P51">
        <f t="shared" si="8"/>
        <v>0.90000000000009095</v>
      </c>
      <c r="Q51">
        <f t="shared" si="9"/>
        <v>0.40000000000009095</v>
      </c>
      <c r="R51">
        <f t="shared" si="10"/>
        <v>1480.75</v>
      </c>
      <c r="S51">
        <f t="shared" si="11"/>
        <v>9.0000000000145519E-2</v>
      </c>
      <c r="T51">
        <f t="shared" si="12"/>
        <v>1480.0480000000002</v>
      </c>
      <c r="U51">
        <f t="shared" si="13"/>
        <v>8.0000000000381988E-3</v>
      </c>
      <c r="V51">
        <f t="shared" si="14"/>
        <v>1479.8239999999998</v>
      </c>
      <c r="W51">
        <f t="shared" si="15"/>
        <v>5.8999999999741704E-2</v>
      </c>
      <c r="X51">
        <f t="shared" si="16"/>
        <v>1390.7640000000001</v>
      </c>
    </row>
    <row r="52" spans="1:24" x14ac:dyDescent="0.3">
      <c r="A52" t="s">
        <v>117</v>
      </c>
      <c r="B52">
        <v>1480.7</v>
      </c>
      <c r="C52">
        <v>1481</v>
      </c>
      <c r="D52">
        <v>1480.3</v>
      </c>
      <c r="E52">
        <v>1480.6</v>
      </c>
      <c r="F52">
        <v>3964</v>
      </c>
      <c r="G52">
        <v>0</v>
      </c>
      <c r="H52">
        <f t="shared" si="0"/>
        <v>1480.7</v>
      </c>
      <c r="I52">
        <f t="shared" si="1"/>
        <v>1481</v>
      </c>
      <c r="J52">
        <f t="shared" si="2"/>
        <v>1480.3</v>
      </c>
      <c r="K52">
        <f t="shared" si="3"/>
        <v>0.70000000000004547</v>
      </c>
      <c r="L52">
        <f t="shared" si="4"/>
        <v>0</v>
      </c>
      <c r="M52" t="str">
        <f t="shared" si="5"/>
        <v>DOWN</v>
      </c>
      <c r="N52">
        <f t="shared" si="6"/>
        <v>-0.10000000000013642</v>
      </c>
      <c r="O52">
        <f t="shared" si="7"/>
        <v>-0.20000000000004547</v>
      </c>
      <c r="P52">
        <f t="shared" si="8"/>
        <v>0.5</v>
      </c>
      <c r="Q52">
        <f t="shared" si="9"/>
        <v>-0.40000000000009095</v>
      </c>
      <c r="R52">
        <f t="shared" si="10"/>
        <v>1480.6599999999999</v>
      </c>
      <c r="S52">
        <f t="shared" si="11"/>
        <v>4.9999999999727152E-2</v>
      </c>
      <c r="T52">
        <f t="shared" si="12"/>
        <v>1480.0400000000002</v>
      </c>
      <c r="U52">
        <f t="shared" si="13"/>
        <v>-8.0000000000381988E-3</v>
      </c>
      <c r="V52">
        <f t="shared" si="14"/>
        <v>1479.7650000000001</v>
      </c>
      <c r="W52">
        <f t="shared" si="15"/>
        <v>4.3000000000574801E-2</v>
      </c>
      <c r="X52">
        <f t="shared" si="16"/>
        <v>1383.3580000000004</v>
      </c>
    </row>
    <row r="53" spans="1:24" x14ac:dyDescent="0.3">
      <c r="A53" t="s">
        <v>34</v>
      </c>
      <c r="B53">
        <v>1481</v>
      </c>
      <c r="C53">
        <v>1481.3</v>
      </c>
      <c r="D53">
        <v>1480.5</v>
      </c>
      <c r="E53">
        <v>1480.7</v>
      </c>
      <c r="F53">
        <v>4074</v>
      </c>
      <c r="G53">
        <v>0</v>
      </c>
      <c r="H53">
        <f t="shared" si="0"/>
        <v>1481.3</v>
      </c>
      <c r="I53">
        <f t="shared" si="1"/>
        <v>1481.3</v>
      </c>
      <c r="J53">
        <f t="shared" si="2"/>
        <v>1480.5</v>
      </c>
      <c r="K53">
        <f t="shared" si="3"/>
        <v>0.79999999999995453</v>
      </c>
      <c r="L53">
        <f t="shared" si="4"/>
        <v>-0.29999999999995453</v>
      </c>
      <c r="M53" t="str">
        <f t="shared" si="5"/>
        <v>DOWN</v>
      </c>
      <c r="N53">
        <f t="shared" si="6"/>
        <v>-0.59999999999990905</v>
      </c>
      <c r="O53">
        <f t="shared" si="7"/>
        <v>0.40000000000009095</v>
      </c>
      <c r="P53">
        <f t="shared" si="8"/>
        <v>0.70000000000004547</v>
      </c>
      <c r="Q53">
        <f t="shared" si="9"/>
        <v>0.70000000000004547</v>
      </c>
      <c r="R53">
        <f t="shared" si="10"/>
        <v>1480.6100000000001</v>
      </c>
      <c r="S53">
        <f t="shared" si="11"/>
        <v>7.0000000000163709E-2</v>
      </c>
      <c r="T53">
        <f t="shared" si="12"/>
        <v>1480.0480000000002</v>
      </c>
      <c r="U53">
        <f t="shared" si="13"/>
        <v>1.3999999999896318E-2</v>
      </c>
      <c r="V53">
        <f t="shared" si="14"/>
        <v>1479.7219999999995</v>
      </c>
      <c r="W53">
        <f t="shared" si="15"/>
        <v>5.4000000000314685E-2</v>
      </c>
      <c r="X53">
        <f t="shared" si="16"/>
        <v>1375.9550000000004</v>
      </c>
    </row>
    <row r="54" spans="1:24" x14ac:dyDescent="0.3">
      <c r="A54" t="s">
        <v>118</v>
      </c>
      <c r="B54">
        <v>1480.9</v>
      </c>
      <c r="C54">
        <v>1481.3</v>
      </c>
      <c r="D54">
        <v>1480.4</v>
      </c>
      <c r="E54">
        <v>1481.3</v>
      </c>
      <c r="F54">
        <v>5505</v>
      </c>
      <c r="G54">
        <v>0</v>
      </c>
      <c r="H54">
        <f t="shared" si="0"/>
        <v>1480.9</v>
      </c>
      <c r="I54">
        <f t="shared" si="1"/>
        <v>1481.3</v>
      </c>
      <c r="J54">
        <f t="shared" si="2"/>
        <v>1480.4</v>
      </c>
      <c r="K54">
        <f t="shared" si="3"/>
        <v>0.89999999999986358</v>
      </c>
      <c r="L54">
        <f t="shared" si="4"/>
        <v>0</v>
      </c>
      <c r="M54" t="str">
        <f t="shared" si="5"/>
        <v>UP</v>
      </c>
      <c r="N54">
        <f t="shared" si="6"/>
        <v>0.39999999999986358</v>
      </c>
      <c r="O54">
        <f t="shared" si="7"/>
        <v>0.70000000000004547</v>
      </c>
      <c r="P54">
        <f t="shared" si="8"/>
        <v>1.7000000000000455</v>
      </c>
      <c r="Q54">
        <f t="shared" si="9"/>
        <v>0.5</v>
      </c>
      <c r="R54">
        <f t="shared" si="10"/>
        <v>1480.54</v>
      </c>
      <c r="S54">
        <f t="shared" si="11"/>
        <v>0.16999999999984539</v>
      </c>
      <c r="T54">
        <f t="shared" si="12"/>
        <v>1480.0340000000003</v>
      </c>
      <c r="U54">
        <f t="shared" si="13"/>
        <v>9.9999999999909051E-3</v>
      </c>
      <c r="V54">
        <f t="shared" si="14"/>
        <v>1479.6679999999992</v>
      </c>
      <c r="W54">
        <f t="shared" si="15"/>
        <v>5.6999999999788997E-2</v>
      </c>
      <c r="X54">
        <f t="shared" si="16"/>
        <v>1368.5515000000003</v>
      </c>
    </row>
    <row r="55" spans="1:24" x14ac:dyDescent="0.3">
      <c r="A55" t="s">
        <v>119</v>
      </c>
      <c r="B55">
        <v>1480.1</v>
      </c>
      <c r="C55">
        <v>1481.1</v>
      </c>
      <c r="D55">
        <v>1480</v>
      </c>
      <c r="E55">
        <v>1480.9</v>
      </c>
      <c r="F55">
        <v>4318</v>
      </c>
      <c r="G55">
        <v>0</v>
      </c>
      <c r="H55">
        <f t="shared" si="0"/>
        <v>1480.1</v>
      </c>
      <c r="I55">
        <f t="shared" si="1"/>
        <v>1481.1</v>
      </c>
      <c r="J55">
        <f t="shared" si="2"/>
        <v>1480</v>
      </c>
      <c r="K55">
        <f t="shared" si="3"/>
        <v>1.0999999999999091</v>
      </c>
      <c r="L55">
        <f t="shared" si="4"/>
        <v>0</v>
      </c>
      <c r="M55" t="str">
        <f t="shared" si="5"/>
        <v>UP</v>
      </c>
      <c r="N55">
        <f t="shared" si="6"/>
        <v>0.8000000000001819</v>
      </c>
      <c r="O55">
        <f t="shared" si="7"/>
        <v>-9.9999999999909051E-2</v>
      </c>
      <c r="P55">
        <f t="shared" si="8"/>
        <v>1</v>
      </c>
      <c r="Q55">
        <f t="shared" si="9"/>
        <v>0.10000000000013642</v>
      </c>
      <c r="R55">
        <f t="shared" si="10"/>
        <v>1480.3700000000001</v>
      </c>
      <c r="S55">
        <f t="shared" si="11"/>
        <v>0.10000000000013642</v>
      </c>
      <c r="T55">
        <f t="shared" si="12"/>
        <v>1480.0240000000003</v>
      </c>
      <c r="U55">
        <f t="shared" si="13"/>
        <v>2.00000000018008E-3</v>
      </c>
      <c r="V55">
        <f t="shared" si="14"/>
        <v>1479.6109999999994</v>
      </c>
      <c r="W55">
        <f t="shared" si="15"/>
        <v>3.8999999999987267E-2</v>
      </c>
      <c r="X55">
        <f t="shared" si="16"/>
        <v>1361.145</v>
      </c>
    </row>
    <row r="56" spans="1:24" x14ac:dyDescent="0.3">
      <c r="A56" t="s">
        <v>120</v>
      </c>
      <c r="B56">
        <v>1480.8</v>
      </c>
      <c r="C56">
        <v>1481</v>
      </c>
      <c r="D56">
        <v>1480</v>
      </c>
      <c r="E56">
        <v>1480.1</v>
      </c>
      <c r="F56">
        <v>5422</v>
      </c>
      <c r="G56">
        <v>0</v>
      </c>
      <c r="H56">
        <f t="shared" si="0"/>
        <v>1480.8</v>
      </c>
      <c r="I56">
        <f t="shared" si="1"/>
        <v>1481</v>
      </c>
      <c r="J56">
        <f t="shared" si="2"/>
        <v>1480</v>
      </c>
      <c r="K56">
        <f t="shared" si="3"/>
        <v>1</v>
      </c>
      <c r="L56">
        <f t="shared" si="4"/>
        <v>0</v>
      </c>
      <c r="M56" t="str">
        <f t="shared" si="5"/>
        <v>DOWN</v>
      </c>
      <c r="N56">
        <f t="shared" si="6"/>
        <v>-0.70000000000004547</v>
      </c>
      <c r="O56">
        <f t="shared" si="7"/>
        <v>-0.20000000000004547</v>
      </c>
      <c r="P56">
        <f t="shared" si="8"/>
        <v>0.1999999999998181</v>
      </c>
      <c r="Q56">
        <f t="shared" si="9"/>
        <v>-1.1000000000001364</v>
      </c>
      <c r="R56">
        <f t="shared" si="10"/>
        <v>1480.27</v>
      </c>
      <c r="S56">
        <f t="shared" si="11"/>
        <v>1.999999999998181E-2</v>
      </c>
      <c r="T56">
        <f t="shared" si="12"/>
        <v>1480.0220000000002</v>
      </c>
      <c r="U56">
        <f t="shared" si="13"/>
        <v>-2.200000000016189E-2</v>
      </c>
      <c r="V56">
        <f t="shared" si="14"/>
        <v>1479.5719999999994</v>
      </c>
      <c r="W56">
        <f t="shared" si="15"/>
        <v>4.1999999999688953E-2</v>
      </c>
      <c r="X56">
        <f t="shared" si="16"/>
        <v>1353.7405000000001</v>
      </c>
    </row>
    <row r="57" spans="1:24" x14ac:dyDescent="0.3">
      <c r="A57" t="s">
        <v>121</v>
      </c>
      <c r="B57">
        <v>1480.1</v>
      </c>
      <c r="C57">
        <v>1480.8</v>
      </c>
      <c r="D57">
        <v>1480</v>
      </c>
      <c r="E57">
        <v>1480.8</v>
      </c>
      <c r="F57">
        <v>4646</v>
      </c>
      <c r="G57">
        <v>0</v>
      </c>
      <c r="H57">
        <f t="shared" si="0"/>
        <v>1480.3</v>
      </c>
      <c r="I57">
        <f t="shared" si="1"/>
        <v>1480.8</v>
      </c>
      <c r="J57">
        <f t="shared" si="2"/>
        <v>1480</v>
      </c>
      <c r="K57">
        <f t="shared" si="3"/>
        <v>0.79999999999995453</v>
      </c>
      <c r="L57">
        <f t="shared" si="4"/>
        <v>-0.20000000000004547</v>
      </c>
      <c r="M57" t="str">
        <f t="shared" si="5"/>
        <v>UP</v>
      </c>
      <c r="N57">
        <f t="shared" si="6"/>
        <v>0.5</v>
      </c>
      <c r="O57">
        <f t="shared" si="7"/>
        <v>0.70000000000004547</v>
      </c>
      <c r="P57">
        <f t="shared" si="8"/>
        <v>0.89999999999986358</v>
      </c>
      <c r="Q57">
        <f t="shared" si="9"/>
        <v>-1.1000000000001364</v>
      </c>
      <c r="R57">
        <f t="shared" si="10"/>
        <v>1480.25</v>
      </c>
      <c r="S57">
        <f t="shared" si="11"/>
        <v>9.0000000000145519E-2</v>
      </c>
      <c r="T57">
        <f t="shared" si="12"/>
        <v>1480.0440000000003</v>
      </c>
      <c r="U57">
        <f t="shared" si="13"/>
        <v>-2.1999999999707143E-2</v>
      </c>
      <c r="V57">
        <f t="shared" si="14"/>
        <v>1479.5299999999997</v>
      </c>
      <c r="W57">
        <f t="shared" si="15"/>
        <v>5.6000000000040018E-2</v>
      </c>
      <c r="X57">
        <f t="shared" si="16"/>
        <v>1346.3400000000004</v>
      </c>
    </row>
    <row r="58" spans="1:24" x14ac:dyDescent="0.3">
      <c r="A58" t="s">
        <v>35</v>
      </c>
      <c r="B58">
        <v>1480.6</v>
      </c>
      <c r="C58">
        <v>1480.7</v>
      </c>
      <c r="D58">
        <v>1479.9</v>
      </c>
      <c r="E58">
        <v>1480.3</v>
      </c>
      <c r="F58">
        <v>6918</v>
      </c>
      <c r="G58">
        <v>0</v>
      </c>
      <c r="H58">
        <f t="shared" si="0"/>
        <v>1480.6</v>
      </c>
      <c r="I58">
        <f t="shared" si="1"/>
        <v>1480.7</v>
      </c>
      <c r="J58">
        <f t="shared" si="2"/>
        <v>1479.9</v>
      </c>
      <c r="K58">
        <f t="shared" si="3"/>
        <v>0.79999999999995453</v>
      </c>
      <c r="L58">
        <f t="shared" si="4"/>
        <v>0</v>
      </c>
      <c r="M58" t="str">
        <f t="shared" si="5"/>
        <v>DOWN</v>
      </c>
      <c r="N58">
        <f t="shared" si="6"/>
        <v>-0.29999999999995453</v>
      </c>
      <c r="O58">
        <f t="shared" si="7"/>
        <v>0.29999999999995453</v>
      </c>
      <c r="P58">
        <f t="shared" si="8"/>
        <v>0.5</v>
      </c>
      <c r="Q58">
        <f t="shared" si="9"/>
        <v>-1.1000000000001364</v>
      </c>
      <c r="R58">
        <f t="shared" si="10"/>
        <v>1480.1599999999999</v>
      </c>
      <c r="S58">
        <f t="shared" si="11"/>
        <v>4.9999999999954525E-2</v>
      </c>
      <c r="T58">
        <f t="shared" si="12"/>
        <v>1480.066</v>
      </c>
      <c r="U58">
        <f t="shared" si="13"/>
        <v>-2.1999999999934516E-2</v>
      </c>
      <c r="V58">
        <f t="shared" si="14"/>
        <v>1479.4739999999997</v>
      </c>
      <c r="W58">
        <f t="shared" si="15"/>
        <v>4.299999999989268E-2</v>
      </c>
      <c r="X58">
        <f t="shared" si="16"/>
        <v>1338.9360000000004</v>
      </c>
    </row>
    <row r="59" spans="1:24" x14ac:dyDescent="0.3">
      <c r="A59" t="s">
        <v>122</v>
      </c>
      <c r="B59">
        <v>1480.6</v>
      </c>
      <c r="C59">
        <v>1481</v>
      </c>
      <c r="D59">
        <v>1480.2</v>
      </c>
      <c r="E59">
        <v>1480.6</v>
      </c>
      <c r="F59">
        <v>3725</v>
      </c>
      <c r="G59">
        <v>0</v>
      </c>
      <c r="H59">
        <f t="shared" si="0"/>
        <v>1481</v>
      </c>
      <c r="I59">
        <f t="shared" si="1"/>
        <v>1481</v>
      </c>
      <c r="J59">
        <f t="shared" si="2"/>
        <v>1480.2</v>
      </c>
      <c r="K59">
        <f t="shared" si="3"/>
        <v>0.79999999999995453</v>
      </c>
      <c r="L59">
        <f t="shared" si="4"/>
        <v>-0.40000000000009095</v>
      </c>
      <c r="M59" t="str">
        <f t="shared" si="5"/>
        <v>DOWN</v>
      </c>
      <c r="N59">
        <f t="shared" si="6"/>
        <v>-0.40000000000009095</v>
      </c>
      <c r="O59">
        <f t="shared" si="7"/>
        <v>1</v>
      </c>
      <c r="P59">
        <f t="shared" si="8"/>
        <v>0.1999999999998181</v>
      </c>
      <c r="Q59">
        <f t="shared" si="9"/>
        <v>-1</v>
      </c>
      <c r="R59">
        <f t="shared" si="10"/>
        <v>1480.11</v>
      </c>
      <c r="S59">
        <f t="shared" si="11"/>
        <v>2.0000000000209184E-2</v>
      </c>
      <c r="T59">
        <f t="shared" si="12"/>
        <v>1480.088</v>
      </c>
      <c r="U59">
        <f t="shared" si="13"/>
        <v>-1.999999999998181E-2</v>
      </c>
      <c r="V59">
        <f t="shared" si="14"/>
        <v>1479.4309999999998</v>
      </c>
      <c r="W59">
        <f t="shared" si="15"/>
        <v>4.9999999999954525E-2</v>
      </c>
      <c r="X59">
        <f t="shared" si="16"/>
        <v>1331.5345000000004</v>
      </c>
    </row>
    <row r="60" spans="1:24" x14ac:dyDescent="0.3">
      <c r="A60" t="s">
        <v>123</v>
      </c>
      <c r="B60">
        <v>1480</v>
      </c>
      <c r="C60">
        <v>1481</v>
      </c>
      <c r="D60">
        <v>1480</v>
      </c>
      <c r="E60">
        <v>1481</v>
      </c>
      <c r="F60">
        <v>6572</v>
      </c>
      <c r="G60">
        <v>0</v>
      </c>
      <c r="H60">
        <f t="shared" si="0"/>
        <v>1480.3</v>
      </c>
      <c r="I60">
        <f t="shared" si="1"/>
        <v>1481</v>
      </c>
      <c r="J60">
        <f t="shared" si="2"/>
        <v>1480</v>
      </c>
      <c r="K60">
        <f t="shared" si="3"/>
        <v>1</v>
      </c>
      <c r="L60">
        <f t="shared" si="4"/>
        <v>-0.29999999999995453</v>
      </c>
      <c r="M60" t="str">
        <f t="shared" si="5"/>
        <v>UP</v>
      </c>
      <c r="N60">
        <f t="shared" si="6"/>
        <v>0.70000000000004547</v>
      </c>
      <c r="O60">
        <f t="shared" si="7"/>
        <v>1.0999999999999091</v>
      </c>
      <c r="P60">
        <f t="shared" si="8"/>
        <v>1.0999999999999091</v>
      </c>
      <c r="Q60">
        <f t="shared" si="9"/>
        <v>0.5</v>
      </c>
      <c r="R60">
        <f t="shared" si="10"/>
        <v>1480.0899999999997</v>
      </c>
      <c r="S60">
        <f t="shared" si="11"/>
        <v>0.10999999999989996</v>
      </c>
      <c r="T60">
        <f t="shared" si="12"/>
        <v>1480.1079999999999</v>
      </c>
      <c r="U60">
        <f t="shared" si="13"/>
        <v>9.9999999999909051E-3</v>
      </c>
      <c r="V60">
        <f t="shared" si="14"/>
        <v>1479.3809999999999</v>
      </c>
      <c r="W60">
        <f t="shared" si="15"/>
        <v>5.7999999999992724E-2</v>
      </c>
      <c r="X60">
        <f t="shared" si="16"/>
        <v>1324.1315000000004</v>
      </c>
    </row>
    <row r="61" spans="1:24" x14ac:dyDescent="0.3">
      <c r="A61" t="s">
        <v>124</v>
      </c>
      <c r="B61">
        <v>1480</v>
      </c>
      <c r="C61">
        <v>1480.5</v>
      </c>
      <c r="D61">
        <v>1480</v>
      </c>
      <c r="E61">
        <v>1480.3</v>
      </c>
      <c r="F61">
        <v>5619</v>
      </c>
      <c r="G61">
        <v>0</v>
      </c>
      <c r="H61">
        <f t="shared" si="0"/>
        <v>1480.1</v>
      </c>
      <c r="I61">
        <f t="shared" si="1"/>
        <v>1480.5</v>
      </c>
      <c r="J61">
        <f t="shared" si="2"/>
        <v>1480</v>
      </c>
      <c r="K61">
        <f t="shared" si="3"/>
        <v>0.5</v>
      </c>
      <c r="L61">
        <f t="shared" si="4"/>
        <v>-9.9999999999909051E-2</v>
      </c>
      <c r="M61" t="str">
        <f t="shared" si="5"/>
        <v>UP</v>
      </c>
      <c r="N61">
        <f t="shared" si="6"/>
        <v>0.20000000000004547</v>
      </c>
      <c r="O61">
        <f t="shared" si="7"/>
        <v>0.39999999999986358</v>
      </c>
      <c r="P61">
        <f t="shared" si="8"/>
        <v>0.39999999999986358</v>
      </c>
      <c r="Q61">
        <f t="shared" si="9"/>
        <v>-0.29999999999995453</v>
      </c>
      <c r="R61">
        <f t="shared" si="10"/>
        <v>1479.9799999999998</v>
      </c>
      <c r="S61">
        <f t="shared" si="11"/>
        <v>3.999999999996362E-2</v>
      </c>
      <c r="T61">
        <f t="shared" si="12"/>
        <v>1480.098</v>
      </c>
      <c r="U61">
        <f t="shared" si="13"/>
        <v>-6.0000000003128662E-3</v>
      </c>
      <c r="V61">
        <f t="shared" si="14"/>
        <v>1479.3229999999999</v>
      </c>
      <c r="W61">
        <f t="shared" si="15"/>
        <v>5.1999999999907232E-2</v>
      </c>
      <c r="X61">
        <f t="shared" si="16"/>
        <v>1316.7265000000004</v>
      </c>
    </row>
    <row r="62" spans="1:24" x14ac:dyDescent="0.3">
      <c r="A62" t="s">
        <v>125</v>
      </c>
      <c r="B62">
        <v>1480.1</v>
      </c>
      <c r="C62">
        <v>1480.3</v>
      </c>
      <c r="D62">
        <v>1479.5</v>
      </c>
      <c r="E62">
        <v>1480.1</v>
      </c>
      <c r="F62">
        <v>4271</v>
      </c>
      <c r="G62">
        <v>0</v>
      </c>
      <c r="H62">
        <f t="shared" si="0"/>
        <v>1480</v>
      </c>
      <c r="I62">
        <f t="shared" si="1"/>
        <v>1480.3</v>
      </c>
      <c r="J62">
        <f t="shared" si="2"/>
        <v>1479.5</v>
      </c>
      <c r="K62">
        <f t="shared" si="3"/>
        <v>0.79999999999995453</v>
      </c>
      <c r="L62">
        <f t="shared" si="4"/>
        <v>9.9999999999909051E-2</v>
      </c>
      <c r="M62" t="str">
        <f t="shared" si="5"/>
        <v>UP</v>
      </c>
      <c r="N62">
        <f t="shared" si="6"/>
        <v>9.9999999999909051E-2</v>
      </c>
      <c r="O62">
        <f t="shared" si="7"/>
        <v>0.1999999999998181</v>
      </c>
      <c r="P62">
        <f t="shared" si="8"/>
        <v>9.9999999999909051E-2</v>
      </c>
      <c r="Q62">
        <f t="shared" si="9"/>
        <v>-0.8000000000001819</v>
      </c>
      <c r="R62">
        <f t="shared" si="10"/>
        <v>1479.9399999999998</v>
      </c>
      <c r="S62">
        <f t="shared" si="11"/>
        <v>9.9999999999909051E-3</v>
      </c>
      <c r="T62">
        <f t="shared" si="12"/>
        <v>1480.1040000000003</v>
      </c>
      <c r="U62">
        <f t="shared" si="13"/>
        <v>-1.599999999962165E-2</v>
      </c>
      <c r="V62">
        <f t="shared" si="14"/>
        <v>1479.271</v>
      </c>
      <c r="W62">
        <f t="shared" si="15"/>
        <v>3.599999999960346E-2</v>
      </c>
      <c r="X62">
        <f t="shared" si="16"/>
        <v>1309.3250000000005</v>
      </c>
    </row>
    <row r="63" spans="1:24" x14ac:dyDescent="0.3">
      <c r="A63" t="s">
        <v>36</v>
      </c>
      <c r="B63">
        <v>1480</v>
      </c>
      <c r="C63">
        <v>1480.2</v>
      </c>
      <c r="D63">
        <v>1479.5</v>
      </c>
      <c r="E63">
        <v>1480</v>
      </c>
      <c r="F63">
        <v>5847</v>
      </c>
      <c r="G63">
        <v>0</v>
      </c>
      <c r="H63">
        <f t="shared" si="0"/>
        <v>1479.6</v>
      </c>
      <c r="I63">
        <f t="shared" si="1"/>
        <v>1480.2</v>
      </c>
      <c r="J63">
        <f t="shared" si="2"/>
        <v>1479.5</v>
      </c>
      <c r="K63">
        <f t="shared" si="3"/>
        <v>0.70000000000004547</v>
      </c>
      <c r="L63">
        <f t="shared" si="4"/>
        <v>0.40000000000009095</v>
      </c>
      <c r="M63" t="str">
        <f t="shared" si="5"/>
        <v>UP</v>
      </c>
      <c r="N63">
        <f t="shared" si="6"/>
        <v>0.40000000000009095</v>
      </c>
      <c r="O63">
        <f t="shared" si="7"/>
        <v>0.20000000000004547</v>
      </c>
      <c r="P63">
        <f t="shared" si="8"/>
        <v>0.20000000000004547</v>
      </c>
      <c r="Q63">
        <f t="shared" si="9"/>
        <v>-0.5</v>
      </c>
      <c r="R63">
        <f t="shared" si="10"/>
        <v>1479.9299999999998</v>
      </c>
      <c r="S63">
        <f t="shared" si="11"/>
        <v>1.999999999998181E-2</v>
      </c>
      <c r="T63">
        <f t="shared" si="12"/>
        <v>1480.12</v>
      </c>
      <c r="U63">
        <f t="shared" si="13"/>
        <v>-1.0000000000445652E-2</v>
      </c>
      <c r="V63">
        <f t="shared" si="14"/>
        <v>1479.2350000000004</v>
      </c>
      <c r="W63">
        <f t="shared" si="15"/>
        <v>4.1999999999916326E-2</v>
      </c>
      <c r="X63">
        <f t="shared" si="16"/>
        <v>1301.9245000000005</v>
      </c>
    </row>
    <row r="64" spans="1:24" x14ac:dyDescent="0.3">
      <c r="A64" t="s">
        <v>126</v>
      </c>
      <c r="B64">
        <v>1479.8</v>
      </c>
      <c r="C64">
        <v>1480.2</v>
      </c>
      <c r="D64">
        <v>1479.5</v>
      </c>
      <c r="E64">
        <v>1479.6</v>
      </c>
      <c r="F64">
        <v>4788</v>
      </c>
      <c r="G64">
        <v>0</v>
      </c>
      <c r="H64">
        <f t="shared" si="0"/>
        <v>1479.9</v>
      </c>
      <c r="I64">
        <f t="shared" si="1"/>
        <v>1480.2</v>
      </c>
      <c r="J64">
        <f t="shared" si="2"/>
        <v>1479.5</v>
      </c>
      <c r="K64">
        <f t="shared" si="3"/>
        <v>0.70000000000004547</v>
      </c>
      <c r="L64">
        <f t="shared" si="4"/>
        <v>-0.10000000000013642</v>
      </c>
      <c r="M64" t="str">
        <f t="shared" si="5"/>
        <v>DOWN</v>
      </c>
      <c r="N64">
        <f t="shared" si="6"/>
        <v>-0.3000000000001819</v>
      </c>
      <c r="O64">
        <f t="shared" si="7"/>
        <v>-0.8000000000001819</v>
      </c>
      <c r="P64">
        <f t="shared" si="8"/>
        <v>-0.3000000000001819</v>
      </c>
      <c r="Q64">
        <f t="shared" si="9"/>
        <v>-0.5</v>
      </c>
      <c r="R64">
        <f t="shared" si="10"/>
        <v>1479.9099999999999</v>
      </c>
      <c r="S64">
        <f t="shared" si="11"/>
        <v>-3.0000000000200089E-2</v>
      </c>
      <c r="T64">
        <f t="shared" si="12"/>
        <v>1480.1300000000003</v>
      </c>
      <c r="U64">
        <f t="shared" si="13"/>
        <v>-9.9999999999909051E-3</v>
      </c>
      <c r="V64">
        <f t="shared" si="14"/>
        <v>1479.1930000000004</v>
      </c>
      <c r="W64">
        <f t="shared" si="15"/>
        <v>4.7000000000025466E-2</v>
      </c>
      <c r="X64">
        <f t="shared" si="16"/>
        <v>1294.5245000000007</v>
      </c>
    </row>
    <row r="65" spans="1:24" x14ac:dyDescent="0.3">
      <c r="A65" t="s">
        <v>127</v>
      </c>
      <c r="B65">
        <v>1479.8</v>
      </c>
      <c r="C65">
        <v>1480.1</v>
      </c>
      <c r="D65">
        <v>1479.5</v>
      </c>
      <c r="E65">
        <v>1479.9</v>
      </c>
      <c r="F65">
        <v>3435</v>
      </c>
      <c r="G65">
        <v>0</v>
      </c>
      <c r="H65">
        <f t="shared" si="0"/>
        <v>1479.9</v>
      </c>
      <c r="I65">
        <f t="shared" si="1"/>
        <v>1480.1</v>
      </c>
      <c r="J65">
        <f t="shared" si="2"/>
        <v>1479.5</v>
      </c>
      <c r="K65">
        <f t="shared" si="3"/>
        <v>0.59999999999990905</v>
      </c>
      <c r="L65">
        <f t="shared" si="4"/>
        <v>-0.10000000000013642</v>
      </c>
      <c r="M65" t="str">
        <f t="shared" si="5"/>
        <v>DOWN</v>
      </c>
      <c r="N65">
        <f t="shared" si="6"/>
        <v>0</v>
      </c>
      <c r="O65">
        <f t="shared" si="7"/>
        <v>0</v>
      </c>
      <c r="P65">
        <f t="shared" si="8"/>
        <v>0</v>
      </c>
      <c r="Q65">
        <f t="shared" si="9"/>
        <v>-0.1999999999998181</v>
      </c>
      <c r="R65">
        <f t="shared" si="10"/>
        <v>1479.94</v>
      </c>
      <c r="S65">
        <f t="shared" si="11"/>
        <v>0</v>
      </c>
      <c r="T65">
        <f t="shared" si="12"/>
        <v>1480.1400000000003</v>
      </c>
      <c r="U65">
        <f t="shared" si="13"/>
        <v>-3.9999999999054126E-3</v>
      </c>
      <c r="V65">
        <f t="shared" si="14"/>
        <v>1479.1460000000004</v>
      </c>
      <c r="W65">
        <f t="shared" si="15"/>
        <v>4.6000000000049113E-2</v>
      </c>
      <c r="X65">
        <f t="shared" si="16"/>
        <v>1287.1265000000008</v>
      </c>
    </row>
    <row r="66" spans="1:24" x14ac:dyDescent="0.3">
      <c r="A66" t="s">
        <v>128</v>
      </c>
      <c r="B66">
        <v>1479.4</v>
      </c>
      <c r="C66">
        <v>1480.1</v>
      </c>
      <c r="D66">
        <v>1479.3</v>
      </c>
      <c r="E66">
        <v>1479.9</v>
      </c>
      <c r="F66">
        <v>6401</v>
      </c>
      <c r="G66">
        <v>0</v>
      </c>
      <c r="H66">
        <f t="shared" ref="H66:H129" si="18">E67</f>
        <v>1479.9</v>
      </c>
      <c r="I66">
        <f t="shared" ref="I66:I129" si="19">MAX(C66,H66)</f>
        <v>1480.1</v>
      </c>
      <c r="J66">
        <f t="shared" ref="J66:J129" si="20">MIN(D66,H66)</f>
        <v>1479.3</v>
      </c>
      <c r="K66">
        <f t="shared" ref="K66:K129" si="21">I66-J66</f>
        <v>0.79999999999995453</v>
      </c>
      <c r="L66">
        <f t="shared" ref="L66:L129" si="22">B66-E67</f>
        <v>-0.5</v>
      </c>
      <c r="M66" t="str">
        <f t="shared" ref="M66:M129" si="23">IF(E66&gt;E67,"UP","DOWN")</f>
        <v>DOWN</v>
      </c>
      <c r="N66">
        <f t="shared" ref="N66:N129" si="24">E66-E67</f>
        <v>0</v>
      </c>
      <c r="O66">
        <f t="shared" ref="O66:O129" si="25">SUM(N66:N70)</f>
        <v>0</v>
      </c>
      <c r="P66">
        <f t="shared" ref="P66:P129" si="26">SUM(N66:N75)</f>
        <v>1.2000000000000455</v>
      </c>
      <c r="Q66">
        <f t="shared" ref="Q66:Q129" si="27">SUM(N66:N115)</f>
        <v>-1</v>
      </c>
      <c r="R66">
        <f t="shared" ref="R66:R129" si="28">SUM(E66:E75)/10</f>
        <v>1479.9399999999998</v>
      </c>
      <c r="S66">
        <f t="shared" ref="S66:S129" si="29">R66-R67</f>
        <v>0.11999999999989086</v>
      </c>
      <c r="T66">
        <f t="shared" ref="T66:T129" si="30">SUM(E66:E115)/50</f>
        <v>1480.1440000000002</v>
      </c>
      <c r="U66">
        <f t="shared" ref="U66:U129" si="31">T66-T67</f>
        <v>-1.999999999998181E-2</v>
      </c>
      <c r="V66">
        <f t="shared" ref="V66:V129" si="32">SUM(E66:E165)/100</f>
        <v>1479.1000000000004</v>
      </c>
      <c r="W66">
        <f t="shared" ref="W66:W129" si="33">V66-V67</f>
        <v>4.6999999999798092E-2</v>
      </c>
      <c r="X66">
        <f t="shared" ref="X66:X129" si="34">SUM(E66:E265)/200</f>
        <v>1279.7270000000008</v>
      </c>
    </row>
    <row r="67" spans="1:24" x14ac:dyDescent="0.3">
      <c r="A67" t="s">
        <v>129</v>
      </c>
      <c r="B67">
        <v>1480</v>
      </c>
      <c r="C67">
        <v>1480</v>
      </c>
      <c r="D67">
        <v>1479.2</v>
      </c>
      <c r="E67">
        <v>1479.9</v>
      </c>
      <c r="F67">
        <v>5721</v>
      </c>
      <c r="G67">
        <v>0</v>
      </c>
      <c r="H67">
        <f t="shared" si="18"/>
        <v>1479.8</v>
      </c>
      <c r="I67">
        <f t="shared" si="19"/>
        <v>1480</v>
      </c>
      <c r="J67">
        <f t="shared" si="20"/>
        <v>1479.2</v>
      </c>
      <c r="K67">
        <f t="shared" si="21"/>
        <v>0.79999999999995453</v>
      </c>
      <c r="L67">
        <f t="shared" si="22"/>
        <v>0.20000000000004547</v>
      </c>
      <c r="M67" t="str">
        <f t="shared" si="23"/>
        <v>UP</v>
      </c>
      <c r="N67">
        <f t="shared" si="24"/>
        <v>0.10000000000013642</v>
      </c>
      <c r="O67">
        <f t="shared" si="25"/>
        <v>-9.9999999999909051E-2</v>
      </c>
      <c r="P67">
        <f t="shared" si="26"/>
        <v>1.1000000000001364</v>
      </c>
      <c r="Q67">
        <f t="shared" si="27"/>
        <v>-0.89999999999986358</v>
      </c>
      <c r="R67">
        <f t="shared" si="28"/>
        <v>1479.82</v>
      </c>
      <c r="S67">
        <f t="shared" si="29"/>
        <v>0.11000000000012733</v>
      </c>
      <c r="T67">
        <f t="shared" si="30"/>
        <v>1480.1640000000002</v>
      </c>
      <c r="U67">
        <f t="shared" si="31"/>
        <v>-1.799999999980173E-2</v>
      </c>
      <c r="V67">
        <f t="shared" si="32"/>
        <v>1479.0530000000006</v>
      </c>
      <c r="W67">
        <f t="shared" si="33"/>
        <v>3.5000000000081855E-2</v>
      </c>
      <c r="X67">
        <f t="shared" si="34"/>
        <v>1272.3275000000008</v>
      </c>
    </row>
    <row r="68" spans="1:24" x14ac:dyDescent="0.3">
      <c r="A68" t="s">
        <v>37</v>
      </c>
      <c r="B68">
        <v>1480.1</v>
      </c>
      <c r="C68">
        <v>1480.5</v>
      </c>
      <c r="D68">
        <v>1479.5</v>
      </c>
      <c r="E68">
        <v>1479.8</v>
      </c>
      <c r="F68">
        <v>10415</v>
      </c>
      <c r="G68">
        <v>0</v>
      </c>
      <c r="H68">
        <f t="shared" si="18"/>
        <v>1480.4</v>
      </c>
      <c r="I68">
        <f t="shared" si="19"/>
        <v>1480.5</v>
      </c>
      <c r="J68">
        <f t="shared" si="20"/>
        <v>1479.5</v>
      </c>
      <c r="K68">
        <f t="shared" si="21"/>
        <v>1</v>
      </c>
      <c r="L68">
        <f t="shared" si="22"/>
        <v>-0.3000000000001819</v>
      </c>
      <c r="M68" t="str">
        <f t="shared" si="23"/>
        <v>DOWN</v>
      </c>
      <c r="N68">
        <f t="shared" si="24"/>
        <v>-0.60000000000013642</v>
      </c>
      <c r="O68">
        <f t="shared" si="25"/>
        <v>0</v>
      </c>
      <c r="P68">
        <f t="shared" si="26"/>
        <v>1.2999999999999545</v>
      </c>
      <c r="Q68">
        <f t="shared" si="27"/>
        <v>-1.6000000000001364</v>
      </c>
      <c r="R68">
        <f t="shared" si="28"/>
        <v>1479.7099999999998</v>
      </c>
      <c r="S68">
        <f t="shared" si="29"/>
        <v>0.12999999999965439</v>
      </c>
      <c r="T68">
        <f t="shared" si="30"/>
        <v>1480.182</v>
      </c>
      <c r="U68">
        <f t="shared" si="31"/>
        <v>-3.2000000000152795E-2</v>
      </c>
      <c r="V68">
        <f t="shared" si="32"/>
        <v>1479.0180000000005</v>
      </c>
      <c r="W68">
        <f t="shared" si="33"/>
        <v>3.8000000000238288E-2</v>
      </c>
      <c r="X68">
        <f t="shared" si="34"/>
        <v>1264.9280000000008</v>
      </c>
    </row>
    <row r="69" spans="1:24" x14ac:dyDescent="0.3">
      <c r="A69" t="s">
        <v>130</v>
      </c>
      <c r="B69">
        <v>1479.7</v>
      </c>
      <c r="C69">
        <v>1480.4</v>
      </c>
      <c r="D69">
        <v>1479.2</v>
      </c>
      <c r="E69">
        <v>1480.4</v>
      </c>
      <c r="F69">
        <v>37241</v>
      </c>
      <c r="G69">
        <v>0</v>
      </c>
      <c r="H69">
        <f t="shared" si="18"/>
        <v>1479.9</v>
      </c>
      <c r="I69">
        <f t="shared" si="19"/>
        <v>1480.4</v>
      </c>
      <c r="J69">
        <f t="shared" si="20"/>
        <v>1479.2</v>
      </c>
      <c r="K69">
        <f t="shared" si="21"/>
        <v>1.2000000000000455</v>
      </c>
      <c r="L69">
        <f t="shared" si="22"/>
        <v>-0.20000000000004547</v>
      </c>
      <c r="M69" t="str">
        <f t="shared" si="23"/>
        <v>UP</v>
      </c>
      <c r="N69">
        <f t="shared" si="24"/>
        <v>0.5</v>
      </c>
      <c r="O69">
        <f t="shared" si="25"/>
        <v>0.5</v>
      </c>
      <c r="P69">
        <f t="shared" si="26"/>
        <v>2.1000000000001364</v>
      </c>
      <c r="Q69">
        <f t="shared" si="27"/>
        <v>-1</v>
      </c>
      <c r="R69">
        <f t="shared" si="28"/>
        <v>1479.5800000000002</v>
      </c>
      <c r="S69">
        <f t="shared" si="29"/>
        <v>0.21000000000026375</v>
      </c>
      <c r="T69">
        <f t="shared" si="30"/>
        <v>1480.2140000000002</v>
      </c>
      <c r="U69">
        <f t="shared" si="31"/>
        <v>-1.9999999999754436E-2</v>
      </c>
      <c r="V69">
        <f t="shared" si="32"/>
        <v>1478.9800000000002</v>
      </c>
      <c r="W69">
        <f t="shared" si="33"/>
        <v>3.799999999978354E-2</v>
      </c>
      <c r="X69">
        <f t="shared" si="34"/>
        <v>1257.5290000000007</v>
      </c>
    </row>
    <row r="70" spans="1:24" x14ac:dyDescent="0.3">
      <c r="A70" t="s">
        <v>131</v>
      </c>
      <c r="B70">
        <v>1479.9</v>
      </c>
      <c r="C70">
        <v>1480.1</v>
      </c>
      <c r="D70">
        <v>1479.3</v>
      </c>
      <c r="E70">
        <v>1479.9</v>
      </c>
      <c r="F70">
        <v>15502</v>
      </c>
      <c r="G70">
        <v>0</v>
      </c>
      <c r="H70">
        <f t="shared" si="18"/>
        <v>1479.9</v>
      </c>
      <c r="I70">
        <f t="shared" si="19"/>
        <v>1480.1</v>
      </c>
      <c r="J70">
        <f t="shared" si="20"/>
        <v>1479.3</v>
      </c>
      <c r="K70">
        <f t="shared" si="21"/>
        <v>0.79999999999995453</v>
      </c>
      <c r="L70">
        <f t="shared" si="22"/>
        <v>0</v>
      </c>
      <c r="M70" t="str">
        <f t="shared" si="23"/>
        <v>DOWN</v>
      </c>
      <c r="N70">
        <f t="shared" si="24"/>
        <v>0</v>
      </c>
      <c r="O70">
        <f t="shared" si="25"/>
        <v>0</v>
      </c>
      <c r="P70">
        <f t="shared" si="26"/>
        <v>1.9000000000000909</v>
      </c>
      <c r="Q70">
        <f t="shared" si="27"/>
        <v>-2.0999999999999091</v>
      </c>
      <c r="R70">
        <f t="shared" si="28"/>
        <v>1479.37</v>
      </c>
      <c r="S70">
        <f t="shared" si="29"/>
        <v>0.19000000000005457</v>
      </c>
      <c r="T70">
        <f t="shared" si="30"/>
        <v>1480.2339999999999</v>
      </c>
      <c r="U70">
        <f t="shared" si="31"/>
        <v>-4.1999999999916326E-2</v>
      </c>
      <c r="V70">
        <f t="shared" si="32"/>
        <v>1478.9420000000005</v>
      </c>
      <c r="W70">
        <f t="shared" si="33"/>
        <v>2.6000000000294676E-2</v>
      </c>
      <c r="X70">
        <f t="shared" si="34"/>
        <v>1250.1270000000006</v>
      </c>
    </row>
    <row r="71" spans="1:24" x14ac:dyDescent="0.3">
      <c r="A71" t="s">
        <v>132</v>
      </c>
      <c r="B71">
        <v>1480</v>
      </c>
      <c r="C71">
        <v>1480</v>
      </c>
      <c r="D71">
        <v>1479.2</v>
      </c>
      <c r="E71">
        <v>1479.9</v>
      </c>
      <c r="F71">
        <v>9427</v>
      </c>
      <c r="G71">
        <v>0</v>
      </c>
      <c r="H71">
        <f t="shared" si="18"/>
        <v>1480</v>
      </c>
      <c r="I71">
        <f t="shared" si="19"/>
        <v>1480</v>
      </c>
      <c r="J71">
        <f t="shared" si="20"/>
        <v>1479.2</v>
      </c>
      <c r="K71">
        <f t="shared" si="21"/>
        <v>0.79999999999995453</v>
      </c>
      <c r="L71">
        <f t="shared" si="22"/>
        <v>0</v>
      </c>
      <c r="M71" t="str">
        <f t="shared" si="23"/>
        <v>DOWN</v>
      </c>
      <c r="N71">
        <f t="shared" si="24"/>
        <v>-9.9999999999909051E-2</v>
      </c>
      <c r="O71">
        <f t="shared" si="25"/>
        <v>1.2000000000000455</v>
      </c>
      <c r="P71">
        <f t="shared" si="26"/>
        <v>1.7000000000000455</v>
      </c>
      <c r="Q71">
        <f t="shared" si="27"/>
        <v>-2.6999999999998181</v>
      </c>
      <c r="R71">
        <f t="shared" si="28"/>
        <v>1479.1799999999998</v>
      </c>
      <c r="S71">
        <f t="shared" si="29"/>
        <v>0.16999999999984539</v>
      </c>
      <c r="T71">
        <f t="shared" si="30"/>
        <v>1480.2759999999998</v>
      </c>
      <c r="U71">
        <f t="shared" si="31"/>
        <v>-5.4000000000087311E-2</v>
      </c>
      <c r="V71">
        <f t="shared" si="32"/>
        <v>1478.9160000000002</v>
      </c>
      <c r="W71">
        <f t="shared" si="33"/>
        <v>2.299999999991087E-2</v>
      </c>
      <c r="X71">
        <f t="shared" si="34"/>
        <v>1242.7275000000006</v>
      </c>
    </row>
    <row r="72" spans="1:24" x14ac:dyDescent="0.3">
      <c r="A72" t="s">
        <v>133</v>
      </c>
      <c r="B72">
        <v>1479.7</v>
      </c>
      <c r="C72">
        <v>1480</v>
      </c>
      <c r="D72">
        <v>1479.1</v>
      </c>
      <c r="E72">
        <v>1480</v>
      </c>
      <c r="F72">
        <v>10202</v>
      </c>
      <c r="G72">
        <v>0</v>
      </c>
      <c r="H72">
        <f t="shared" si="18"/>
        <v>1479.8</v>
      </c>
      <c r="I72">
        <f t="shared" si="19"/>
        <v>1480</v>
      </c>
      <c r="J72">
        <f t="shared" si="20"/>
        <v>1479.1</v>
      </c>
      <c r="K72">
        <f t="shared" si="21"/>
        <v>0.90000000000009095</v>
      </c>
      <c r="L72">
        <f t="shared" si="22"/>
        <v>-9.9999999999909051E-2</v>
      </c>
      <c r="M72" t="str">
        <f t="shared" si="23"/>
        <v>UP</v>
      </c>
      <c r="N72">
        <f t="shared" si="24"/>
        <v>0.20000000000004547</v>
      </c>
      <c r="O72">
        <f t="shared" si="25"/>
        <v>1.2000000000000455</v>
      </c>
      <c r="P72">
        <f t="shared" si="26"/>
        <v>1.5999999999999091</v>
      </c>
      <c r="Q72">
        <f t="shared" si="27"/>
        <v>-2.2000000000000455</v>
      </c>
      <c r="R72">
        <f t="shared" si="28"/>
        <v>1479.01</v>
      </c>
      <c r="S72">
        <f t="shared" si="29"/>
        <v>0.16000000000008185</v>
      </c>
      <c r="T72">
        <f t="shared" si="30"/>
        <v>1480.33</v>
      </c>
      <c r="U72">
        <f t="shared" si="31"/>
        <v>-4.3999999999641659E-2</v>
      </c>
      <c r="V72">
        <f t="shared" si="32"/>
        <v>1478.8930000000003</v>
      </c>
      <c r="W72">
        <f t="shared" si="33"/>
        <v>2.600000000052205E-2</v>
      </c>
      <c r="X72">
        <f t="shared" si="34"/>
        <v>1235.3280000000007</v>
      </c>
    </row>
    <row r="73" spans="1:24" x14ac:dyDescent="0.3">
      <c r="A73" t="s">
        <v>38</v>
      </c>
      <c r="B73">
        <v>1479.9</v>
      </c>
      <c r="C73">
        <v>1479.9</v>
      </c>
      <c r="D73">
        <v>1479</v>
      </c>
      <c r="E73">
        <v>1479.8</v>
      </c>
      <c r="F73">
        <v>9949</v>
      </c>
      <c r="G73">
        <v>0</v>
      </c>
      <c r="H73">
        <f t="shared" si="18"/>
        <v>1479.9</v>
      </c>
      <c r="I73">
        <f t="shared" si="19"/>
        <v>1479.9</v>
      </c>
      <c r="J73">
        <f t="shared" si="20"/>
        <v>1479</v>
      </c>
      <c r="K73">
        <f t="shared" si="21"/>
        <v>0.90000000000009095</v>
      </c>
      <c r="L73">
        <f t="shared" si="22"/>
        <v>0</v>
      </c>
      <c r="M73" t="str">
        <f t="shared" si="23"/>
        <v>DOWN</v>
      </c>
      <c r="N73">
        <f t="shared" si="24"/>
        <v>-0.10000000000013642</v>
      </c>
      <c r="O73">
        <f t="shared" si="25"/>
        <v>1.2999999999999545</v>
      </c>
      <c r="P73">
        <f t="shared" si="26"/>
        <v>-0.40000000000009095</v>
      </c>
      <c r="Q73">
        <f t="shared" si="27"/>
        <v>-3</v>
      </c>
      <c r="R73">
        <f t="shared" si="28"/>
        <v>1478.85</v>
      </c>
      <c r="S73">
        <f t="shared" si="29"/>
        <v>-4.0000000000190994E-2</v>
      </c>
      <c r="T73">
        <f t="shared" si="30"/>
        <v>1480.3739999999996</v>
      </c>
      <c r="U73">
        <f t="shared" si="31"/>
        <v>-6.0000000000400178E-2</v>
      </c>
      <c r="V73">
        <f t="shared" si="32"/>
        <v>1478.8669999999997</v>
      </c>
      <c r="W73">
        <f t="shared" si="33"/>
        <v>2.099999999973079E-2</v>
      </c>
      <c r="X73">
        <f t="shared" si="34"/>
        <v>1227.9280000000006</v>
      </c>
    </row>
    <row r="74" spans="1:24" x14ac:dyDescent="0.3">
      <c r="A74" t="s">
        <v>134</v>
      </c>
      <c r="B74">
        <v>1479.9</v>
      </c>
      <c r="C74">
        <v>1480</v>
      </c>
      <c r="D74">
        <v>1479.1</v>
      </c>
      <c r="E74">
        <v>1479.9</v>
      </c>
      <c r="F74">
        <v>14545</v>
      </c>
      <c r="G74">
        <v>0</v>
      </c>
      <c r="H74">
        <f t="shared" si="18"/>
        <v>1479.9</v>
      </c>
      <c r="I74">
        <f t="shared" si="19"/>
        <v>1480</v>
      </c>
      <c r="J74">
        <f t="shared" si="20"/>
        <v>1479.1</v>
      </c>
      <c r="K74">
        <f t="shared" si="21"/>
        <v>0.90000000000009095</v>
      </c>
      <c r="L74">
        <f t="shared" si="22"/>
        <v>0</v>
      </c>
      <c r="M74" t="str">
        <f t="shared" si="23"/>
        <v>DOWN</v>
      </c>
      <c r="N74">
        <f t="shared" si="24"/>
        <v>0</v>
      </c>
      <c r="O74">
        <f t="shared" si="25"/>
        <v>1.6000000000001364</v>
      </c>
      <c r="P74">
        <f t="shared" si="26"/>
        <v>-0.39999999999986358</v>
      </c>
      <c r="Q74">
        <f t="shared" si="27"/>
        <v>-2.7999999999999545</v>
      </c>
      <c r="R74">
        <f t="shared" si="28"/>
        <v>1478.89</v>
      </c>
      <c r="S74">
        <f t="shared" si="29"/>
        <v>-3.999999999996362E-2</v>
      </c>
      <c r="T74">
        <f t="shared" si="30"/>
        <v>1480.434</v>
      </c>
      <c r="U74">
        <f t="shared" si="31"/>
        <v>-5.6000000000267391E-2</v>
      </c>
      <c r="V74">
        <f t="shared" si="32"/>
        <v>1478.846</v>
      </c>
      <c r="W74">
        <f t="shared" si="33"/>
        <v>3.0999999999721695E-2</v>
      </c>
      <c r="X74">
        <f t="shared" si="34"/>
        <v>1220.5290000000005</v>
      </c>
    </row>
    <row r="75" spans="1:24" x14ac:dyDescent="0.3">
      <c r="A75" t="s">
        <v>135</v>
      </c>
      <c r="B75">
        <v>1479.2</v>
      </c>
      <c r="C75">
        <v>1480</v>
      </c>
      <c r="D75">
        <v>1478.5</v>
      </c>
      <c r="E75">
        <v>1479.9</v>
      </c>
      <c r="F75">
        <v>7413</v>
      </c>
      <c r="G75">
        <v>0</v>
      </c>
      <c r="H75">
        <f t="shared" si="18"/>
        <v>1478.7</v>
      </c>
      <c r="I75">
        <f t="shared" si="19"/>
        <v>1480</v>
      </c>
      <c r="J75">
        <f t="shared" si="20"/>
        <v>1478.5</v>
      </c>
      <c r="K75">
        <f t="shared" si="21"/>
        <v>1.5</v>
      </c>
      <c r="L75">
        <f t="shared" si="22"/>
        <v>0.5</v>
      </c>
      <c r="M75" t="str">
        <f t="shared" si="23"/>
        <v>UP</v>
      </c>
      <c r="N75">
        <f t="shared" si="24"/>
        <v>1.2000000000000455</v>
      </c>
      <c r="O75">
        <f t="shared" si="25"/>
        <v>1.9000000000000909</v>
      </c>
      <c r="P75">
        <f t="shared" si="26"/>
        <v>-0.1999999999998181</v>
      </c>
      <c r="Q75">
        <f t="shared" si="27"/>
        <v>-1.1999999999998181</v>
      </c>
      <c r="R75">
        <f t="shared" si="28"/>
        <v>1478.93</v>
      </c>
      <c r="S75">
        <f t="shared" si="29"/>
        <v>-1.999999999998181E-2</v>
      </c>
      <c r="T75">
        <f t="shared" si="30"/>
        <v>1480.4900000000002</v>
      </c>
      <c r="U75">
        <f t="shared" si="31"/>
        <v>-2.400000000034197E-2</v>
      </c>
      <c r="V75">
        <f t="shared" si="32"/>
        <v>1478.8150000000003</v>
      </c>
      <c r="W75">
        <f t="shared" si="33"/>
        <v>2.5000000000090949E-2</v>
      </c>
      <c r="X75">
        <f t="shared" si="34"/>
        <v>1213.1295000000007</v>
      </c>
    </row>
    <row r="76" spans="1:24" x14ac:dyDescent="0.3">
      <c r="A76" t="s">
        <v>136</v>
      </c>
      <c r="B76">
        <v>1479.3</v>
      </c>
      <c r="C76">
        <v>1479.6</v>
      </c>
      <c r="D76">
        <v>1478.3</v>
      </c>
      <c r="E76">
        <v>1478.7</v>
      </c>
      <c r="F76">
        <v>5065</v>
      </c>
      <c r="G76">
        <v>0</v>
      </c>
      <c r="H76">
        <f t="shared" si="18"/>
        <v>1478.8</v>
      </c>
      <c r="I76">
        <f t="shared" si="19"/>
        <v>1479.6</v>
      </c>
      <c r="J76">
        <f t="shared" si="20"/>
        <v>1478.3</v>
      </c>
      <c r="K76">
        <f t="shared" si="21"/>
        <v>1.2999999999999545</v>
      </c>
      <c r="L76">
        <f t="shared" si="22"/>
        <v>0.5</v>
      </c>
      <c r="M76" t="str">
        <f t="shared" si="23"/>
        <v>DOWN</v>
      </c>
      <c r="N76">
        <f t="shared" si="24"/>
        <v>-9.9999999999909051E-2</v>
      </c>
      <c r="O76">
        <f t="shared" si="25"/>
        <v>0.5</v>
      </c>
      <c r="P76">
        <f t="shared" si="26"/>
        <v>-1.8999999999998636</v>
      </c>
      <c r="Q76">
        <f t="shared" si="27"/>
        <v>-2.5999999999999091</v>
      </c>
      <c r="R76">
        <f t="shared" si="28"/>
        <v>1478.95</v>
      </c>
      <c r="S76">
        <f t="shared" si="29"/>
        <v>-0.19000000000005457</v>
      </c>
      <c r="T76">
        <f t="shared" si="30"/>
        <v>1480.5140000000006</v>
      </c>
      <c r="U76">
        <f t="shared" si="31"/>
        <v>-5.1999999999679858E-2</v>
      </c>
      <c r="V76">
        <f t="shared" si="32"/>
        <v>1478.7900000000002</v>
      </c>
      <c r="W76">
        <f t="shared" si="33"/>
        <v>8.0000000000381988E-3</v>
      </c>
      <c r="X76">
        <f t="shared" si="34"/>
        <v>1205.7300000000007</v>
      </c>
    </row>
    <row r="77" spans="1:24" x14ac:dyDescent="0.3">
      <c r="A77" t="s">
        <v>137</v>
      </c>
      <c r="B77">
        <v>1478.5</v>
      </c>
      <c r="C77">
        <v>1479.5</v>
      </c>
      <c r="D77">
        <v>1478.1</v>
      </c>
      <c r="E77">
        <v>1478.8</v>
      </c>
      <c r="F77">
        <v>4458</v>
      </c>
      <c r="G77">
        <v>0</v>
      </c>
      <c r="H77">
        <f t="shared" si="18"/>
        <v>1478.5</v>
      </c>
      <c r="I77">
        <f t="shared" si="19"/>
        <v>1479.5</v>
      </c>
      <c r="J77">
        <f t="shared" si="20"/>
        <v>1478.1</v>
      </c>
      <c r="K77">
        <f t="shared" si="21"/>
        <v>1.4000000000000909</v>
      </c>
      <c r="L77">
        <f t="shared" si="22"/>
        <v>0</v>
      </c>
      <c r="M77" t="str">
        <f t="shared" si="23"/>
        <v>UP</v>
      </c>
      <c r="N77">
        <f t="shared" si="24"/>
        <v>0.29999999999995453</v>
      </c>
      <c r="O77">
        <f t="shared" si="25"/>
        <v>0.39999999999986358</v>
      </c>
      <c r="P77">
        <f t="shared" si="26"/>
        <v>-1.2000000000000455</v>
      </c>
      <c r="Q77">
        <f t="shared" si="27"/>
        <v>-3.1000000000001364</v>
      </c>
      <c r="R77">
        <f t="shared" si="28"/>
        <v>1479.14</v>
      </c>
      <c r="S77">
        <f t="shared" si="29"/>
        <v>-0.11999999999989086</v>
      </c>
      <c r="T77">
        <f t="shared" si="30"/>
        <v>1480.5660000000003</v>
      </c>
      <c r="U77">
        <f t="shared" si="31"/>
        <v>-6.1999999999898137E-2</v>
      </c>
      <c r="V77">
        <f t="shared" si="32"/>
        <v>1478.7820000000002</v>
      </c>
      <c r="W77">
        <f t="shared" si="33"/>
        <v>5.0000000001091394E-3</v>
      </c>
      <c r="X77">
        <f t="shared" si="34"/>
        <v>1198.3365000000006</v>
      </c>
    </row>
    <row r="78" spans="1:24" x14ac:dyDescent="0.3">
      <c r="A78" t="s">
        <v>39</v>
      </c>
      <c r="B78">
        <v>1478.2</v>
      </c>
      <c r="C78">
        <v>1478.5</v>
      </c>
      <c r="D78">
        <v>1478</v>
      </c>
      <c r="E78">
        <v>1478.5</v>
      </c>
      <c r="F78">
        <v>8336</v>
      </c>
      <c r="G78">
        <v>0</v>
      </c>
      <c r="H78">
        <f t="shared" si="18"/>
        <v>1478.3</v>
      </c>
      <c r="I78">
        <f t="shared" si="19"/>
        <v>1478.5</v>
      </c>
      <c r="J78">
        <f t="shared" si="20"/>
        <v>1478</v>
      </c>
      <c r="K78">
        <f t="shared" si="21"/>
        <v>0.5</v>
      </c>
      <c r="L78">
        <f t="shared" si="22"/>
        <v>-9.9999999999909051E-2</v>
      </c>
      <c r="M78" t="str">
        <f t="shared" si="23"/>
        <v>UP</v>
      </c>
      <c r="N78">
        <f t="shared" si="24"/>
        <v>0.20000000000004547</v>
      </c>
      <c r="O78">
        <f t="shared" si="25"/>
        <v>-1.7000000000000455</v>
      </c>
      <c r="P78">
        <f t="shared" si="26"/>
        <v>-1.7000000000000455</v>
      </c>
      <c r="Q78">
        <f t="shared" si="27"/>
        <v>-1.7999999999999545</v>
      </c>
      <c r="R78">
        <f t="shared" si="28"/>
        <v>1479.26</v>
      </c>
      <c r="S78">
        <f t="shared" si="29"/>
        <v>-0.17000000000007276</v>
      </c>
      <c r="T78">
        <f t="shared" si="30"/>
        <v>1480.6280000000002</v>
      </c>
      <c r="U78">
        <f t="shared" si="31"/>
        <v>-3.6000000000058208E-2</v>
      </c>
      <c r="V78">
        <f t="shared" si="32"/>
        <v>1478.777</v>
      </c>
      <c r="W78">
        <f t="shared" si="33"/>
        <v>-1.1000000000194632E-2</v>
      </c>
      <c r="X78">
        <f t="shared" si="34"/>
        <v>1190.9425000000008</v>
      </c>
    </row>
    <row r="79" spans="1:24" x14ac:dyDescent="0.3">
      <c r="A79" t="s">
        <v>138</v>
      </c>
      <c r="B79">
        <v>1478</v>
      </c>
      <c r="C79">
        <v>1478.4</v>
      </c>
      <c r="D79">
        <v>1477</v>
      </c>
      <c r="E79">
        <v>1478.3</v>
      </c>
      <c r="F79">
        <v>15527</v>
      </c>
      <c r="G79">
        <v>0</v>
      </c>
      <c r="H79">
        <f t="shared" si="18"/>
        <v>1478</v>
      </c>
      <c r="I79">
        <f t="shared" si="19"/>
        <v>1478.4</v>
      </c>
      <c r="J79">
        <f t="shared" si="20"/>
        <v>1477</v>
      </c>
      <c r="K79">
        <f t="shared" si="21"/>
        <v>1.4000000000000909</v>
      </c>
      <c r="L79">
        <f t="shared" si="22"/>
        <v>0</v>
      </c>
      <c r="M79" t="str">
        <f t="shared" si="23"/>
        <v>UP</v>
      </c>
      <c r="N79">
        <f t="shared" si="24"/>
        <v>0.29999999999995453</v>
      </c>
      <c r="O79">
        <f t="shared" si="25"/>
        <v>-2</v>
      </c>
      <c r="P79">
        <f t="shared" si="26"/>
        <v>-1.7999999999999545</v>
      </c>
      <c r="Q79">
        <f t="shared" si="27"/>
        <v>-1.7000000000000455</v>
      </c>
      <c r="R79">
        <f t="shared" si="28"/>
        <v>1479.43</v>
      </c>
      <c r="S79">
        <f t="shared" si="29"/>
        <v>-0.18000000000006366</v>
      </c>
      <c r="T79">
        <f t="shared" si="30"/>
        <v>1480.6640000000002</v>
      </c>
      <c r="U79">
        <f t="shared" si="31"/>
        <v>-3.4000000000332875E-2</v>
      </c>
      <c r="V79">
        <f t="shared" si="32"/>
        <v>1478.7880000000002</v>
      </c>
      <c r="W79">
        <f t="shared" si="33"/>
        <v>-1.599999999962165E-2</v>
      </c>
      <c r="X79">
        <f t="shared" si="34"/>
        <v>1183.5500000000006</v>
      </c>
    </row>
    <row r="80" spans="1:24" x14ac:dyDescent="0.3">
      <c r="A80" t="s">
        <v>139</v>
      </c>
      <c r="B80">
        <v>1478.3</v>
      </c>
      <c r="C80">
        <v>1478.8</v>
      </c>
      <c r="D80">
        <v>1477.5</v>
      </c>
      <c r="E80">
        <v>1478</v>
      </c>
      <c r="F80">
        <v>7660</v>
      </c>
      <c r="G80">
        <v>0</v>
      </c>
      <c r="H80">
        <f t="shared" si="18"/>
        <v>1478.2</v>
      </c>
      <c r="I80">
        <f t="shared" si="19"/>
        <v>1478.8</v>
      </c>
      <c r="J80">
        <f t="shared" si="20"/>
        <v>1477.5</v>
      </c>
      <c r="K80">
        <f t="shared" si="21"/>
        <v>1.2999999999999545</v>
      </c>
      <c r="L80">
        <f t="shared" si="22"/>
        <v>9.9999999999909051E-2</v>
      </c>
      <c r="M80" t="str">
        <f t="shared" si="23"/>
        <v>DOWN</v>
      </c>
      <c r="N80">
        <f t="shared" si="24"/>
        <v>-0.20000000000004547</v>
      </c>
      <c r="O80">
        <f t="shared" si="25"/>
        <v>-2.0999999999999091</v>
      </c>
      <c r="P80">
        <f t="shared" si="26"/>
        <v>-2.2999999999999545</v>
      </c>
      <c r="Q80">
        <f t="shared" si="27"/>
        <v>-2.4000000000000909</v>
      </c>
      <c r="R80">
        <f t="shared" si="28"/>
        <v>1479.6100000000001</v>
      </c>
      <c r="S80">
        <f t="shared" si="29"/>
        <v>-0.23000000000001819</v>
      </c>
      <c r="T80">
        <f t="shared" si="30"/>
        <v>1480.6980000000005</v>
      </c>
      <c r="U80">
        <f t="shared" si="31"/>
        <v>-4.7999999999547072E-2</v>
      </c>
      <c r="V80">
        <f t="shared" si="32"/>
        <v>1478.8039999999999</v>
      </c>
      <c r="W80">
        <f t="shared" si="33"/>
        <v>-1.999999999998181E-2</v>
      </c>
      <c r="X80">
        <f t="shared" si="34"/>
        <v>1176.1585000000007</v>
      </c>
    </row>
    <row r="81" spans="1:24" x14ac:dyDescent="0.3">
      <c r="A81" t="s">
        <v>140</v>
      </c>
      <c r="B81">
        <v>1478.3</v>
      </c>
      <c r="C81">
        <v>1479</v>
      </c>
      <c r="D81">
        <v>1478</v>
      </c>
      <c r="E81">
        <v>1478.2</v>
      </c>
      <c r="F81">
        <v>6281</v>
      </c>
      <c r="G81">
        <v>0</v>
      </c>
      <c r="H81">
        <f t="shared" si="18"/>
        <v>1478.4</v>
      </c>
      <c r="I81">
        <f t="shared" si="19"/>
        <v>1479</v>
      </c>
      <c r="J81">
        <f t="shared" si="20"/>
        <v>1478</v>
      </c>
      <c r="K81">
        <f t="shared" si="21"/>
        <v>1</v>
      </c>
      <c r="L81">
        <f t="shared" si="22"/>
        <v>-0.10000000000013642</v>
      </c>
      <c r="M81" t="str">
        <f t="shared" si="23"/>
        <v>DOWN</v>
      </c>
      <c r="N81">
        <f t="shared" si="24"/>
        <v>-0.20000000000004547</v>
      </c>
      <c r="O81">
        <f t="shared" si="25"/>
        <v>-2.3999999999998636</v>
      </c>
      <c r="P81">
        <f t="shared" si="26"/>
        <v>-1.7999999999999545</v>
      </c>
      <c r="Q81">
        <f t="shared" si="27"/>
        <v>-2.5</v>
      </c>
      <c r="R81">
        <f t="shared" si="28"/>
        <v>1479.8400000000001</v>
      </c>
      <c r="S81">
        <f t="shared" si="29"/>
        <v>-0.17999999999983629</v>
      </c>
      <c r="T81">
        <f t="shared" si="30"/>
        <v>1480.7460000000001</v>
      </c>
      <c r="U81">
        <f t="shared" si="31"/>
        <v>-4.9999999999727152E-2</v>
      </c>
      <c r="V81">
        <f t="shared" si="32"/>
        <v>1478.8239999999998</v>
      </c>
      <c r="W81">
        <f t="shared" si="33"/>
        <v>-1.8000000000029104E-2</v>
      </c>
      <c r="X81">
        <f t="shared" si="34"/>
        <v>1168.7685000000006</v>
      </c>
    </row>
    <row r="82" spans="1:24" x14ac:dyDescent="0.3">
      <c r="A82" t="s">
        <v>141</v>
      </c>
      <c r="B82">
        <v>1480.1</v>
      </c>
      <c r="C82">
        <v>1480.5</v>
      </c>
      <c r="D82">
        <v>1478</v>
      </c>
      <c r="E82">
        <v>1478.4</v>
      </c>
      <c r="F82">
        <v>30544</v>
      </c>
      <c r="G82">
        <v>0</v>
      </c>
      <c r="H82">
        <f t="shared" si="18"/>
        <v>1480.2</v>
      </c>
      <c r="I82">
        <f t="shared" si="19"/>
        <v>1480.5</v>
      </c>
      <c r="J82">
        <f t="shared" si="20"/>
        <v>1478</v>
      </c>
      <c r="K82">
        <f t="shared" si="21"/>
        <v>2.5</v>
      </c>
      <c r="L82">
        <f t="shared" si="22"/>
        <v>-0.10000000000013642</v>
      </c>
      <c r="M82" t="str">
        <f t="shared" si="23"/>
        <v>DOWN</v>
      </c>
      <c r="N82">
        <f t="shared" si="24"/>
        <v>-1.7999999999999545</v>
      </c>
      <c r="O82">
        <f t="shared" si="25"/>
        <v>-1.5999999999999091</v>
      </c>
      <c r="P82">
        <f t="shared" si="26"/>
        <v>-1.7999999999999545</v>
      </c>
      <c r="Q82">
        <f t="shared" si="27"/>
        <v>-2.0999999999999091</v>
      </c>
      <c r="R82">
        <f t="shared" si="28"/>
        <v>1480.02</v>
      </c>
      <c r="S82">
        <f t="shared" si="29"/>
        <v>-0.18000000000029104</v>
      </c>
      <c r="T82">
        <f t="shared" si="30"/>
        <v>1480.7959999999998</v>
      </c>
      <c r="U82">
        <f t="shared" si="31"/>
        <v>-4.20000000001437E-2</v>
      </c>
      <c r="V82">
        <f t="shared" si="32"/>
        <v>1478.8419999999999</v>
      </c>
      <c r="W82">
        <f t="shared" si="33"/>
        <v>-3.9999999999054126E-3</v>
      </c>
      <c r="X82">
        <f t="shared" si="34"/>
        <v>1161.3775000000005</v>
      </c>
    </row>
    <row r="83" spans="1:24" x14ac:dyDescent="0.3">
      <c r="A83" t="s">
        <v>40</v>
      </c>
      <c r="B83">
        <v>1480</v>
      </c>
      <c r="C83">
        <v>1480.5</v>
      </c>
      <c r="D83">
        <v>1480</v>
      </c>
      <c r="E83">
        <v>1480.2</v>
      </c>
      <c r="F83">
        <v>5120</v>
      </c>
      <c r="G83">
        <v>0</v>
      </c>
      <c r="H83">
        <f t="shared" si="18"/>
        <v>1480.3</v>
      </c>
      <c r="I83">
        <f t="shared" si="19"/>
        <v>1480.5</v>
      </c>
      <c r="J83">
        <f t="shared" si="20"/>
        <v>1480</v>
      </c>
      <c r="K83">
        <f t="shared" si="21"/>
        <v>0.5</v>
      </c>
      <c r="L83">
        <f t="shared" si="22"/>
        <v>-0.29999999999995453</v>
      </c>
      <c r="M83" t="str">
        <f t="shared" si="23"/>
        <v>DOWN</v>
      </c>
      <c r="N83">
        <f t="shared" si="24"/>
        <v>-9.9999999999909051E-2</v>
      </c>
      <c r="O83">
        <f t="shared" si="25"/>
        <v>0</v>
      </c>
      <c r="P83">
        <f t="shared" si="26"/>
        <v>-9.9999999999909051E-2</v>
      </c>
      <c r="Q83">
        <f t="shared" si="27"/>
        <v>0.60000000000013642</v>
      </c>
      <c r="R83">
        <f t="shared" si="28"/>
        <v>1480.2000000000003</v>
      </c>
      <c r="S83">
        <f t="shared" si="29"/>
        <v>-9.9999999995361577E-3</v>
      </c>
      <c r="T83">
        <f t="shared" si="30"/>
        <v>1480.838</v>
      </c>
      <c r="U83">
        <f t="shared" si="31"/>
        <v>1.1999999999943611E-2</v>
      </c>
      <c r="V83">
        <f t="shared" si="32"/>
        <v>1478.8459999999998</v>
      </c>
      <c r="W83">
        <f t="shared" si="33"/>
        <v>0</v>
      </c>
      <c r="X83">
        <f t="shared" si="34"/>
        <v>1153.9855000000007</v>
      </c>
    </row>
    <row r="84" spans="1:24" x14ac:dyDescent="0.3">
      <c r="A84" t="s">
        <v>142</v>
      </c>
      <c r="B84">
        <v>1480.2</v>
      </c>
      <c r="C84">
        <v>1480.4</v>
      </c>
      <c r="D84">
        <v>1480</v>
      </c>
      <c r="E84">
        <v>1480.3</v>
      </c>
      <c r="F84">
        <v>5234</v>
      </c>
      <c r="G84">
        <v>0</v>
      </c>
      <c r="H84">
        <f t="shared" si="18"/>
        <v>1480.1</v>
      </c>
      <c r="I84">
        <f t="shared" si="19"/>
        <v>1480.4</v>
      </c>
      <c r="J84">
        <f t="shared" si="20"/>
        <v>1480</v>
      </c>
      <c r="K84">
        <f t="shared" si="21"/>
        <v>0.40000000000009095</v>
      </c>
      <c r="L84">
        <f t="shared" si="22"/>
        <v>0.10000000000013642</v>
      </c>
      <c r="M84" t="str">
        <f t="shared" si="23"/>
        <v>UP</v>
      </c>
      <c r="N84">
        <f t="shared" si="24"/>
        <v>0.20000000000004547</v>
      </c>
      <c r="O84">
        <f t="shared" si="25"/>
        <v>0.20000000000004547</v>
      </c>
      <c r="P84">
        <f t="shared" si="26"/>
        <v>0</v>
      </c>
      <c r="Q84">
        <f t="shared" si="27"/>
        <v>0.89999999999986358</v>
      </c>
      <c r="R84">
        <f t="shared" si="28"/>
        <v>1480.2099999999998</v>
      </c>
      <c r="S84">
        <f t="shared" si="29"/>
        <v>0</v>
      </c>
      <c r="T84">
        <f t="shared" si="30"/>
        <v>1480.826</v>
      </c>
      <c r="U84">
        <f t="shared" si="31"/>
        <v>1.8000000000029104E-2</v>
      </c>
      <c r="V84">
        <f t="shared" si="32"/>
        <v>1478.846</v>
      </c>
      <c r="W84">
        <f t="shared" si="33"/>
        <v>9.0000000002419256E-3</v>
      </c>
      <c r="X84">
        <f t="shared" si="34"/>
        <v>1146.5845000000006</v>
      </c>
    </row>
    <row r="85" spans="1:24" x14ac:dyDescent="0.3">
      <c r="A85" t="s">
        <v>143</v>
      </c>
      <c r="B85">
        <v>1480.1</v>
      </c>
      <c r="C85">
        <v>1480.6</v>
      </c>
      <c r="D85">
        <v>1480</v>
      </c>
      <c r="E85">
        <v>1480.1</v>
      </c>
      <c r="F85">
        <v>4311</v>
      </c>
      <c r="G85">
        <v>0</v>
      </c>
      <c r="H85">
        <f t="shared" si="18"/>
        <v>1480.6</v>
      </c>
      <c r="I85">
        <f t="shared" si="19"/>
        <v>1480.6</v>
      </c>
      <c r="J85">
        <f t="shared" si="20"/>
        <v>1480</v>
      </c>
      <c r="K85">
        <f t="shared" si="21"/>
        <v>0.59999999999990905</v>
      </c>
      <c r="L85">
        <f t="shared" si="22"/>
        <v>-0.5</v>
      </c>
      <c r="M85" t="str">
        <f t="shared" si="23"/>
        <v>DOWN</v>
      </c>
      <c r="N85">
        <f t="shared" si="24"/>
        <v>-0.5</v>
      </c>
      <c r="O85">
        <f t="shared" si="25"/>
        <v>-0.20000000000004547</v>
      </c>
      <c r="P85">
        <f t="shared" si="26"/>
        <v>-0.3000000000001819</v>
      </c>
      <c r="Q85">
        <f t="shared" si="27"/>
        <v>2.3999999999998636</v>
      </c>
      <c r="R85">
        <f t="shared" si="28"/>
        <v>1480.2099999999998</v>
      </c>
      <c r="S85">
        <f t="shared" si="29"/>
        <v>-3.0000000000200089E-2</v>
      </c>
      <c r="T85">
        <f t="shared" si="30"/>
        <v>1480.808</v>
      </c>
      <c r="U85">
        <f t="shared" si="31"/>
        <v>4.8000000000001819E-2</v>
      </c>
      <c r="V85">
        <f t="shared" si="32"/>
        <v>1478.8369999999998</v>
      </c>
      <c r="W85">
        <f t="shared" si="33"/>
        <v>1.6999999999825377E-2</v>
      </c>
      <c r="X85">
        <f t="shared" si="34"/>
        <v>1139.1830000000007</v>
      </c>
    </row>
    <row r="86" spans="1:24" x14ac:dyDescent="0.3">
      <c r="A86" t="s">
        <v>144</v>
      </c>
      <c r="B86">
        <v>1480.1</v>
      </c>
      <c r="C86">
        <v>1480.7</v>
      </c>
      <c r="D86">
        <v>1480</v>
      </c>
      <c r="E86">
        <v>1480.6</v>
      </c>
      <c r="F86">
        <v>14564</v>
      </c>
      <c r="G86">
        <v>0</v>
      </c>
      <c r="H86">
        <f t="shared" si="18"/>
        <v>1480</v>
      </c>
      <c r="I86">
        <f t="shared" si="19"/>
        <v>1480.7</v>
      </c>
      <c r="J86">
        <f t="shared" si="20"/>
        <v>1480</v>
      </c>
      <c r="K86">
        <f t="shared" si="21"/>
        <v>0.70000000000004547</v>
      </c>
      <c r="L86">
        <f t="shared" si="22"/>
        <v>9.9999999999909051E-2</v>
      </c>
      <c r="M86" t="str">
        <f t="shared" si="23"/>
        <v>UP</v>
      </c>
      <c r="N86">
        <f t="shared" si="24"/>
        <v>0.59999999999990905</v>
      </c>
      <c r="O86">
        <f t="shared" si="25"/>
        <v>0.59999999999990905</v>
      </c>
      <c r="P86">
        <f t="shared" si="26"/>
        <v>0.1999999999998181</v>
      </c>
      <c r="Q86">
        <f t="shared" si="27"/>
        <v>4.5999999999999091</v>
      </c>
      <c r="R86">
        <f t="shared" si="28"/>
        <v>1480.24</v>
      </c>
      <c r="S86">
        <f t="shared" si="29"/>
        <v>2.0000000000209184E-2</v>
      </c>
      <c r="T86">
        <f t="shared" si="30"/>
        <v>1480.76</v>
      </c>
      <c r="U86">
        <f t="shared" si="31"/>
        <v>9.1999999999870852E-2</v>
      </c>
      <c r="V86">
        <f t="shared" si="32"/>
        <v>1478.82</v>
      </c>
      <c r="W86">
        <f t="shared" si="33"/>
        <v>1.6999999999825377E-2</v>
      </c>
      <c r="X86">
        <f t="shared" si="34"/>
        <v>1131.7825000000007</v>
      </c>
    </row>
    <row r="87" spans="1:24" x14ac:dyDescent="0.3">
      <c r="A87" t="s">
        <v>145</v>
      </c>
      <c r="B87">
        <v>1480</v>
      </c>
      <c r="C87">
        <v>1480.2</v>
      </c>
      <c r="D87">
        <v>1480</v>
      </c>
      <c r="E87">
        <v>1480</v>
      </c>
      <c r="F87">
        <v>10216</v>
      </c>
      <c r="G87">
        <v>0</v>
      </c>
      <c r="H87">
        <f t="shared" si="18"/>
        <v>1480.2</v>
      </c>
      <c r="I87">
        <f t="shared" si="19"/>
        <v>1480.2</v>
      </c>
      <c r="J87">
        <f t="shared" si="20"/>
        <v>1480</v>
      </c>
      <c r="K87">
        <f t="shared" si="21"/>
        <v>0.20000000000004547</v>
      </c>
      <c r="L87">
        <f t="shared" si="22"/>
        <v>-0.20000000000004547</v>
      </c>
      <c r="M87" t="str">
        <f t="shared" si="23"/>
        <v>DOWN</v>
      </c>
      <c r="N87">
        <f t="shared" si="24"/>
        <v>-0.20000000000004547</v>
      </c>
      <c r="O87">
        <f t="shared" si="25"/>
        <v>-0.20000000000004547</v>
      </c>
      <c r="P87">
        <f t="shared" si="26"/>
        <v>-0.59999999999990905</v>
      </c>
      <c r="Q87">
        <f t="shared" si="27"/>
        <v>4.0999999999999091</v>
      </c>
      <c r="R87">
        <f t="shared" si="28"/>
        <v>1480.2199999999998</v>
      </c>
      <c r="S87">
        <f t="shared" si="29"/>
        <v>-6.0000000000172804E-2</v>
      </c>
      <c r="T87">
        <f t="shared" si="30"/>
        <v>1480.6680000000001</v>
      </c>
      <c r="U87">
        <f t="shared" si="31"/>
        <v>8.200000000010732E-2</v>
      </c>
      <c r="V87">
        <f t="shared" si="32"/>
        <v>1478.8030000000001</v>
      </c>
      <c r="W87">
        <f t="shared" si="33"/>
        <v>1.8999999999778083E-2</v>
      </c>
      <c r="X87">
        <f t="shared" si="34"/>
        <v>1124.3795000000009</v>
      </c>
    </row>
    <row r="88" spans="1:24" x14ac:dyDescent="0.3">
      <c r="A88" t="s">
        <v>41</v>
      </c>
      <c r="B88">
        <v>1480.1</v>
      </c>
      <c r="C88">
        <v>1480.3</v>
      </c>
      <c r="D88">
        <v>1480</v>
      </c>
      <c r="E88">
        <v>1480.2</v>
      </c>
      <c r="F88">
        <v>9345</v>
      </c>
      <c r="G88">
        <v>0</v>
      </c>
      <c r="H88">
        <f t="shared" si="18"/>
        <v>1480.1</v>
      </c>
      <c r="I88">
        <f t="shared" si="19"/>
        <v>1480.3</v>
      </c>
      <c r="J88">
        <f t="shared" si="20"/>
        <v>1480</v>
      </c>
      <c r="K88">
        <f t="shared" si="21"/>
        <v>0.29999999999995453</v>
      </c>
      <c r="L88">
        <f t="shared" si="22"/>
        <v>0</v>
      </c>
      <c r="M88" t="str">
        <f t="shared" si="23"/>
        <v>UP</v>
      </c>
      <c r="N88">
        <f t="shared" si="24"/>
        <v>0.10000000000013642</v>
      </c>
      <c r="O88">
        <f t="shared" si="25"/>
        <v>-9.9999999999909051E-2</v>
      </c>
      <c r="P88">
        <f t="shared" si="26"/>
        <v>-1</v>
      </c>
      <c r="Q88">
        <f t="shared" si="27"/>
        <v>3.4000000000000909</v>
      </c>
      <c r="R88">
        <f t="shared" si="28"/>
        <v>1480.28</v>
      </c>
      <c r="S88">
        <f t="shared" si="29"/>
        <v>-9.9999999999909051E-2</v>
      </c>
      <c r="T88">
        <f t="shared" si="30"/>
        <v>1480.586</v>
      </c>
      <c r="U88">
        <f t="shared" si="31"/>
        <v>6.8000000000211003E-2</v>
      </c>
      <c r="V88">
        <f t="shared" si="32"/>
        <v>1478.7840000000003</v>
      </c>
      <c r="W88">
        <f t="shared" si="33"/>
        <v>6.0000000000854925E-3</v>
      </c>
      <c r="X88">
        <f t="shared" si="34"/>
        <v>1116.9795000000008</v>
      </c>
    </row>
    <row r="89" spans="1:24" x14ac:dyDescent="0.3">
      <c r="A89" t="s">
        <v>146</v>
      </c>
      <c r="B89">
        <v>1480</v>
      </c>
      <c r="C89">
        <v>1480.3</v>
      </c>
      <c r="D89">
        <v>1480</v>
      </c>
      <c r="E89">
        <v>1480.1</v>
      </c>
      <c r="F89">
        <v>6393</v>
      </c>
      <c r="G89">
        <v>0</v>
      </c>
      <c r="H89">
        <f t="shared" si="18"/>
        <v>1480.3</v>
      </c>
      <c r="I89">
        <f t="shared" si="19"/>
        <v>1480.3</v>
      </c>
      <c r="J89">
        <f t="shared" si="20"/>
        <v>1480</v>
      </c>
      <c r="K89">
        <f t="shared" si="21"/>
        <v>0.29999999999995453</v>
      </c>
      <c r="L89">
        <f t="shared" si="22"/>
        <v>-0.29999999999995453</v>
      </c>
      <c r="M89" t="str">
        <f t="shared" si="23"/>
        <v>DOWN</v>
      </c>
      <c r="N89">
        <f t="shared" si="24"/>
        <v>-0.20000000000004547</v>
      </c>
      <c r="O89">
        <f t="shared" si="25"/>
        <v>-0.20000000000004547</v>
      </c>
      <c r="P89">
        <f t="shared" si="26"/>
        <v>-1</v>
      </c>
      <c r="Q89">
        <f t="shared" si="27"/>
        <v>4.5</v>
      </c>
      <c r="R89">
        <f t="shared" si="28"/>
        <v>1480.3799999999999</v>
      </c>
      <c r="S89">
        <f t="shared" si="29"/>
        <v>-0.10000000000013642</v>
      </c>
      <c r="T89">
        <f t="shared" si="30"/>
        <v>1480.5179999999998</v>
      </c>
      <c r="U89">
        <f t="shared" si="31"/>
        <v>8.9999999999918145E-2</v>
      </c>
      <c r="V89">
        <f t="shared" si="32"/>
        <v>1478.7780000000002</v>
      </c>
      <c r="W89">
        <f t="shared" si="33"/>
        <v>7.0000000002892193E-3</v>
      </c>
      <c r="X89">
        <f t="shared" si="34"/>
        <v>1109.5785000000008</v>
      </c>
    </row>
    <row r="90" spans="1:24" x14ac:dyDescent="0.3">
      <c r="A90" t="s">
        <v>147</v>
      </c>
      <c r="B90">
        <v>1480</v>
      </c>
      <c r="C90">
        <v>1480.5</v>
      </c>
      <c r="D90">
        <v>1480</v>
      </c>
      <c r="E90">
        <v>1480.3</v>
      </c>
      <c r="F90">
        <v>5176</v>
      </c>
      <c r="G90">
        <v>0</v>
      </c>
      <c r="H90">
        <f t="shared" si="18"/>
        <v>1480</v>
      </c>
      <c r="I90">
        <f t="shared" si="19"/>
        <v>1480.5</v>
      </c>
      <c r="J90">
        <f t="shared" si="20"/>
        <v>1480</v>
      </c>
      <c r="K90">
        <f t="shared" si="21"/>
        <v>0.5</v>
      </c>
      <c r="L90">
        <f t="shared" si="22"/>
        <v>0</v>
      </c>
      <c r="M90" t="str">
        <f t="shared" si="23"/>
        <v>UP</v>
      </c>
      <c r="N90">
        <f t="shared" si="24"/>
        <v>0.29999999999995453</v>
      </c>
      <c r="O90">
        <f t="shared" si="25"/>
        <v>-0.10000000000013642</v>
      </c>
      <c r="P90">
        <f t="shared" si="26"/>
        <v>-0.10000000000013642</v>
      </c>
      <c r="Q90">
        <f t="shared" si="27"/>
        <v>4.3999999999998636</v>
      </c>
      <c r="R90">
        <f t="shared" si="28"/>
        <v>1480.48</v>
      </c>
      <c r="S90">
        <f t="shared" si="29"/>
        <v>-1.0000000000218279E-2</v>
      </c>
      <c r="T90">
        <f t="shared" si="30"/>
        <v>1480.4279999999999</v>
      </c>
      <c r="U90">
        <f t="shared" si="31"/>
        <v>8.7999999999965439E-2</v>
      </c>
      <c r="V90">
        <f t="shared" si="32"/>
        <v>1478.771</v>
      </c>
      <c r="W90">
        <f t="shared" si="33"/>
        <v>-2.00000000018008E-3</v>
      </c>
      <c r="X90">
        <f t="shared" si="34"/>
        <v>1102.1780000000008</v>
      </c>
    </row>
    <row r="91" spans="1:24" x14ac:dyDescent="0.3">
      <c r="A91" t="s">
        <v>148</v>
      </c>
      <c r="B91">
        <v>1480.2</v>
      </c>
      <c r="C91">
        <v>1480.5</v>
      </c>
      <c r="D91">
        <v>1480</v>
      </c>
      <c r="E91">
        <v>1480</v>
      </c>
      <c r="F91">
        <v>3905</v>
      </c>
      <c r="G91">
        <v>0</v>
      </c>
      <c r="H91">
        <f t="shared" si="18"/>
        <v>1480.2</v>
      </c>
      <c r="I91">
        <f t="shared" si="19"/>
        <v>1480.5</v>
      </c>
      <c r="J91">
        <f t="shared" si="20"/>
        <v>1480</v>
      </c>
      <c r="K91">
        <f t="shared" si="21"/>
        <v>0.5</v>
      </c>
      <c r="L91">
        <f t="shared" si="22"/>
        <v>0</v>
      </c>
      <c r="M91" t="str">
        <f t="shared" si="23"/>
        <v>DOWN</v>
      </c>
      <c r="N91">
        <f t="shared" si="24"/>
        <v>-0.20000000000004547</v>
      </c>
      <c r="O91">
        <f t="shared" si="25"/>
        <v>-0.40000000000009095</v>
      </c>
      <c r="P91">
        <f t="shared" si="26"/>
        <v>-0.79999999999995453</v>
      </c>
      <c r="Q91">
        <f t="shared" si="27"/>
        <v>4.2999999999999545</v>
      </c>
      <c r="R91">
        <f t="shared" si="28"/>
        <v>1480.4900000000002</v>
      </c>
      <c r="S91">
        <f t="shared" si="29"/>
        <v>-7.999999999992724E-2</v>
      </c>
      <c r="T91">
        <f t="shared" si="30"/>
        <v>1480.34</v>
      </c>
      <c r="U91">
        <f t="shared" si="31"/>
        <v>8.6000000000012733E-2</v>
      </c>
      <c r="V91">
        <f t="shared" si="32"/>
        <v>1478.7730000000001</v>
      </c>
      <c r="W91">
        <f t="shared" si="33"/>
        <v>-1.2000000000170985E-2</v>
      </c>
      <c r="X91">
        <f t="shared" si="34"/>
        <v>1094.7765000000009</v>
      </c>
    </row>
    <row r="92" spans="1:24" x14ac:dyDescent="0.3">
      <c r="A92" t="s">
        <v>149</v>
      </c>
      <c r="B92">
        <v>1480</v>
      </c>
      <c r="C92">
        <v>1480.5</v>
      </c>
      <c r="D92">
        <v>1480</v>
      </c>
      <c r="E92">
        <v>1480.2</v>
      </c>
      <c r="F92">
        <v>4724</v>
      </c>
      <c r="G92">
        <v>0</v>
      </c>
      <c r="H92">
        <f t="shared" si="18"/>
        <v>1480.3</v>
      </c>
      <c r="I92">
        <f t="shared" si="19"/>
        <v>1480.5</v>
      </c>
      <c r="J92">
        <f t="shared" si="20"/>
        <v>1480</v>
      </c>
      <c r="K92">
        <f t="shared" si="21"/>
        <v>0.5</v>
      </c>
      <c r="L92">
        <f t="shared" si="22"/>
        <v>-0.29999999999995453</v>
      </c>
      <c r="M92" t="str">
        <f t="shared" si="23"/>
        <v>DOWN</v>
      </c>
      <c r="N92">
        <f t="shared" si="24"/>
        <v>-9.9999999999909051E-2</v>
      </c>
      <c r="O92">
        <f t="shared" si="25"/>
        <v>-0.39999999999986358</v>
      </c>
      <c r="P92">
        <f t="shared" si="26"/>
        <v>-0.79999999999995453</v>
      </c>
      <c r="Q92">
        <f t="shared" si="27"/>
        <v>4.1000000000001364</v>
      </c>
      <c r="R92">
        <f t="shared" si="28"/>
        <v>1480.5700000000002</v>
      </c>
      <c r="S92">
        <f t="shared" si="29"/>
        <v>-7.999999999992724E-2</v>
      </c>
      <c r="T92">
        <f t="shared" si="30"/>
        <v>1480.2539999999999</v>
      </c>
      <c r="U92">
        <f t="shared" si="31"/>
        <v>8.1999999999879947E-2</v>
      </c>
      <c r="V92">
        <f t="shared" si="32"/>
        <v>1478.7850000000003</v>
      </c>
      <c r="W92">
        <f t="shared" si="33"/>
        <v>-8.0000000002655725E-3</v>
      </c>
      <c r="X92">
        <f t="shared" si="34"/>
        <v>1087.3765000000008</v>
      </c>
    </row>
    <row r="93" spans="1:24" x14ac:dyDescent="0.3">
      <c r="A93" t="s">
        <v>42</v>
      </c>
      <c r="B93">
        <v>1480</v>
      </c>
      <c r="C93">
        <v>1480.4</v>
      </c>
      <c r="D93">
        <v>1480</v>
      </c>
      <c r="E93">
        <v>1480.3</v>
      </c>
      <c r="F93">
        <v>20520</v>
      </c>
      <c r="G93">
        <v>0</v>
      </c>
      <c r="H93">
        <f t="shared" si="18"/>
        <v>1480.3</v>
      </c>
      <c r="I93">
        <f t="shared" si="19"/>
        <v>1480.4</v>
      </c>
      <c r="J93">
        <f t="shared" si="20"/>
        <v>1480</v>
      </c>
      <c r="K93">
        <f t="shared" si="21"/>
        <v>0.40000000000009095</v>
      </c>
      <c r="L93">
        <f t="shared" si="22"/>
        <v>-0.29999999999995453</v>
      </c>
      <c r="M93" t="str">
        <f t="shared" si="23"/>
        <v>DOWN</v>
      </c>
      <c r="N93">
        <f t="shared" si="24"/>
        <v>0</v>
      </c>
      <c r="O93">
        <f t="shared" si="25"/>
        <v>-0.90000000000009095</v>
      </c>
      <c r="P93">
        <f t="shared" si="26"/>
        <v>0.29999999999995453</v>
      </c>
      <c r="Q93">
        <f t="shared" si="27"/>
        <v>3.5</v>
      </c>
      <c r="R93">
        <f t="shared" si="28"/>
        <v>1480.65</v>
      </c>
      <c r="S93">
        <f t="shared" si="29"/>
        <v>3.0000000000200089E-2</v>
      </c>
      <c r="T93">
        <f t="shared" si="30"/>
        <v>1480.172</v>
      </c>
      <c r="U93">
        <f t="shared" si="31"/>
        <v>6.9999999999936335E-2</v>
      </c>
      <c r="V93">
        <f t="shared" si="32"/>
        <v>1478.7930000000006</v>
      </c>
      <c r="W93">
        <f t="shared" si="33"/>
        <v>1.0000000002037268E-3</v>
      </c>
      <c r="X93">
        <f t="shared" si="34"/>
        <v>1079.9755000000009</v>
      </c>
    </row>
    <row r="94" spans="1:24" x14ac:dyDescent="0.3">
      <c r="A94" t="s">
        <v>150</v>
      </c>
      <c r="B94">
        <v>1480.2</v>
      </c>
      <c r="C94">
        <v>1480.5</v>
      </c>
      <c r="D94">
        <v>1480</v>
      </c>
      <c r="E94">
        <v>1480.3</v>
      </c>
      <c r="F94">
        <v>3736</v>
      </c>
      <c r="G94">
        <v>0</v>
      </c>
      <c r="H94">
        <f t="shared" si="18"/>
        <v>1480.4</v>
      </c>
      <c r="I94">
        <f t="shared" si="19"/>
        <v>1480.5</v>
      </c>
      <c r="J94">
        <f t="shared" si="20"/>
        <v>1480</v>
      </c>
      <c r="K94">
        <f t="shared" si="21"/>
        <v>0.5</v>
      </c>
      <c r="L94">
        <f t="shared" si="22"/>
        <v>-0.20000000000004547</v>
      </c>
      <c r="M94" t="str">
        <f t="shared" si="23"/>
        <v>DOWN</v>
      </c>
      <c r="N94">
        <f t="shared" si="24"/>
        <v>-0.10000000000013642</v>
      </c>
      <c r="O94">
        <f t="shared" si="25"/>
        <v>-0.79999999999995453</v>
      </c>
      <c r="P94">
        <f t="shared" si="26"/>
        <v>-0.5</v>
      </c>
      <c r="Q94">
        <f t="shared" si="27"/>
        <v>3</v>
      </c>
      <c r="R94">
        <f t="shared" si="28"/>
        <v>1480.62</v>
      </c>
      <c r="S94">
        <f t="shared" si="29"/>
        <v>-4.9999999999727152E-2</v>
      </c>
      <c r="T94">
        <f t="shared" si="30"/>
        <v>1480.1020000000001</v>
      </c>
      <c r="U94">
        <f t="shared" si="31"/>
        <v>5.999999999994543E-2</v>
      </c>
      <c r="V94">
        <f t="shared" si="32"/>
        <v>1478.7920000000004</v>
      </c>
      <c r="W94">
        <f t="shared" si="33"/>
        <v>-3.0000000001564331E-3</v>
      </c>
      <c r="X94">
        <f t="shared" si="34"/>
        <v>1072.5740000000008</v>
      </c>
    </row>
    <row r="95" spans="1:24" x14ac:dyDescent="0.3">
      <c r="A95" t="s">
        <v>151</v>
      </c>
      <c r="B95">
        <v>1480.4</v>
      </c>
      <c r="C95">
        <v>1480.4</v>
      </c>
      <c r="D95">
        <v>1479.9</v>
      </c>
      <c r="E95">
        <v>1480.4</v>
      </c>
      <c r="F95">
        <v>12383</v>
      </c>
      <c r="G95">
        <v>0</v>
      </c>
      <c r="H95">
        <f t="shared" si="18"/>
        <v>1480.4</v>
      </c>
      <c r="I95">
        <f t="shared" si="19"/>
        <v>1480.4</v>
      </c>
      <c r="J95">
        <f t="shared" si="20"/>
        <v>1479.9</v>
      </c>
      <c r="K95">
        <f t="shared" si="21"/>
        <v>0.5</v>
      </c>
      <c r="L95">
        <f t="shared" si="22"/>
        <v>0</v>
      </c>
      <c r="M95" t="str">
        <f t="shared" si="23"/>
        <v>DOWN</v>
      </c>
      <c r="N95">
        <f t="shared" si="24"/>
        <v>0</v>
      </c>
      <c r="O95">
        <f t="shared" si="25"/>
        <v>0</v>
      </c>
      <c r="P95">
        <f t="shared" si="26"/>
        <v>-0.39999999999986358</v>
      </c>
      <c r="Q95">
        <f t="shared" si="27"/>
        <v>3.3000000000001819</v>
      </c>
      <c r="R95">
        <f t="shared" si="28"/>
        <v>1480.6699999999996</v>
      </c>
      <c r="S95">
        <f t="shared" si="29"/>
        <v>-3.999999999996362E-2</v>
      </c>
      <c r="T95">
        <f t="shared" si="30"/>
        <v>1480.0420000000001</v>
      </c>
      <c r="U95">
        <f t="shared" si="31"/>
        <v>6.6000000000030923E-2</v>
      </c>
      <c r="V95">
        <f t="shared" si="32"/>
        <v>1478.7950000000005</v>
      </c>
      <c r="W95">
        <f t="shared" si="33"/>
        <v>1.1000000000194632E-2</v>
      </c>
      <c r="X95">
        <f t="shared" si="34"/>
        <v>1065.1725000000008</v>
      </c>
    </row>
    <row r="96" spans="1:24" x14ac:dyDescent="0.3">
      <c r="A96" t="s">
        <v>152</v>
      </c>
      <c r="B96">
        <v>1480.5</v>
      </c>
      <c r="C96">
        <v>1480.7</v>
      </c>
      <c r="D96">
        <v>1480</v>
      </c>
      <c r="E96">
        <v>1480.4</v>
      </c>
      <c r="F96">
        <v>6473</v>
      </c>
      <c r="G96">
        <v>0</v>
      </c>
      <c r="H96">
        <f t="shared" si="18"/>
        <v>1480.6</v>
      </c>
      <c r="I96">
        <f t="shared" si="19"/>
        <v>1480.7</v>
      </c>
      <c r="J96">
        <f t="shared" si="20"/>
        <v>1480</v>
      </c>
      <c r="K96">
        <f t="shared" si="21"/>
        <v>0.70000000000004547</v>
      </c>
      <c r="L96">
        <f t="shared" si="22"/>
        <v>-9.9999999999909051E-2</v>
      </c>
      <c r="M96" t="str">
        <f t="shared" si="23"/>
        <v>DOWN</v>
      </c>
      <c r="N96">
        <f t="shared" si="24"/>
        <v>-0.1999999999998181</v>
      </c>
      <c r="O96">
        <f t="shared" si="25"/>
        <v>-0.39999999999986358</v>
      </c>
      <c r="P96">
        <f t="shared" si="26"/>
        <v>-0.79999999999995453</v>
      </c>
      <c r="Q96">
        <f t="shared" si="27"/>
        <v>3.3000000000001819</v>
      </c>
      <c r="R96">
        <f t="shared" si="28"/>
        <v>1480.7099999999996</v>
      </c>
      <c r="S96">
        <f t="shared" si="29"/>
        <v>-8.0000000000154614E-2</v>
      </c>
      <c r="T96">
        <f t="shared" si="30"/>
        <v>1479.9760000000001</v>
      </c>
      <c r="U96">
        <f t="shared" si="31"/>
        <v>6.5999999999803549E-2</v>
      </c>
      <c r="V96">
        <f t="shared" si="32"/>
        <v>1478.7840000000003</v>
      </c>
      <c r="W96">
        <f t="shared" si="33"/>
        <v>9.0000000000145519E-3</v>
      </c>
      <c r="X96">
        <f t="shared" si="34"/>
        <v>1057.7705000000008</v>
      </c>
    </row>
    <row r="97" spans="1:24" x14ac:dyDescent="0.3">
      <c r="A97" t="s">
        <v>153</v>
      </c>
      <c r="B97">
        <v>1480.5</v>
      </c>
      <c r="C97">
        <v>1481.1</v>
      </c>
      <c r="D97">
        <v>1480</v>
      </c>
      <c r="E97">
        <v>1480.6</v>
      </c>
      <c r="F97">
        <v>15816</v>
      </c>
      <c r="G97">
        <v>0</v>
      </c>
      <c r="H97">
        <f t="shared" si="18"/>
        <v>1481.2</v>
      </c>
      <c r="I97">
        <f t="shared" si="19"/>
        <v>1481.2</v>
      </c>
      <c r="J97">
        <f t="shared" si="20"/>
        <v>1480</v>
      </c>
      <c r="K97">
        <f t="shared" si="21"/>
        <v>1.2000000000000455</v>
      </c>
      <c r="L97">
        <f t="shared" si="22"/>
        <v>-0.70000000000004547</v>
      </c>
      <c r="M97" t="str">
        <f t="shared" si="23"/>
        <v>DOWN</v>
      </c>
      <c r="N97">
        <f t="shared" si="24"/>
        <v>-0.60000000000013642</v>
      </c>
      <c r="O97">
        <f t="shared" si="25"/>
        <v>-0.40000000000009095</v>
      </c>
      <c r="P97">
        <f t="shared" si="26"/>
        <v>-1.3000000000001819</v>
      </c>
      <c r="Q97">
        <f t="shared" si="27"/>
        <v>3.0999999999999091</v>
      </c>
      <c r="R97">
        <f t="shared" si="28"/>
        <v>1480.7899999999997</v>
      </c>
      <c r="S97">
        <f t="shared" si="29"/>
        <v>-0.13000000000010914</v>
      </c>
      <c r="T97">
        <f t="shared" si="30"/>
        <v>1479.9100000000003</v>
      </c>
      <c r="U97">
        <f t="shared" si="31"/>
        <v>6.200000000012551E-2</v>
      </c>
      <c r="V97">
        <f t="shared" si="32"/>
        <v>1478.7750000000003</v>
      </c>
      <c r="W97">
        <f t="shared" si="33"/>
        <v>2.1000000000185537E-2</v>
      </c>
      <c r="X97">
        <f t="shared" si="34"/>
        <v>1050.3685000000007</v>
      </c>
    </row>
    <row r="98" spans="1:24" x14ac:dyDescent="0.3">
      <c r="A98" t="s">
        <v>43</v>
      </c>
      <c r="B98">
        <v>1481</v>
      </c>
      <c r="C98">
        <v>1481.2</v>
      </c>
      <c r="D98">
        <v>1480.1</v>
      </c>
      <c r="E98">
        <v>1481.2</v>
      </c>
      <c r="F98">
        <v>14160</v>
      </c>
      <c r="G98">
        <v>0</v>
      </c>
      <c r="H98">
        <f t="shared" si="18"/>
        <v>1481.1</v>
      </c>
      <c r="I98">
        <f t="shared" si="19"/>
        <v>1481.2</v>
      </c>
      <c r="J98">
        <f t="shared" si="20"/>
        <v>1480.1</v>
      </c>
      <c r="K98">
        <f t="shared" si="21"/>
        <v>1.1000000000001364</v>
      </c>
      <c r="L98">
        <f t="shared" si="22"/>
        <v>-9.9999999999909051E-2</v>
      </c>
      <c r="M98" t="str">
        <f t="shared" si="23"/>
        <v>UP</v>
      </c>
      <c r="N98">
        <f t="shared" si="24"/>
        <v>0.10000000000013642</v>
      </c>
      <c r="O98">
        <f t="shared" si="25"/>
        <v>1.2000000000000455</v>
      </c>
      <c r="P98">
        <f t="shared" si="26"/>
        <v>-0.20000000000004547</v>
      </c>
      <c r="Q98">
        <f t="shared" si="27"/>
        <v>3.7000000000000455</v>
      </c>
      <c r="R98">
        <f t="shared" si="28"/>
        <v>1480.9199999999998</v>
      </c>
      <c r="S98">
        <f t="shared" si="29"/>
        <v>-2.0000000000209184E-2</v>
      </c>
      <c r="T98">
        <f t="shared" si="30"/>
        <v>1479.8480000000002</v>
      </c>
      <c r="U98">
        <f t="shared" si="31"/>
        <v>7.3999999999841748E-2</v>
      </c>
      <c r="V98">
        <f t="shared" si="32"/>
        <v>1478.7540000000001</v>
      </c>
      <c r="W98">
        <f t="shared" si="33"/>
        <v>2.3000000000138243E-2</v>
      </c>
      <c r="X98">
        <f t="shared" si="34"/>
        <v>1042.9655000000007</v>
      </c>
    </row>
    <row r="99" spans="1:24" x14ac:dyDescent="0.3">
      <c r="A99" t="s">
        <v>154</v>
      </c>
      <c r="B99">
        <v>1480.4</v>
      </c>
      <c r="C99">
        <v>1481.1</v>
      </c>
      <c r="D99">
        <v>1480</v>
      </c>
      <c r="E99">
        <v>1481.1</v>
      </c>
      <c r="F99">
        <v>5883</v>
      </c>
      <c r="G99">
        <v>0</v>
      </c>
      <c r="H99">
        <f t="shared" si="18"/>
        <v>1480.4</v>
      </c>
      <c r="I99">
        <f t="shared" si="19"/>
        <v>1481.1</v>
      </c>
      <c r="J99">
        <f t="shared" si="20"/>
        <v>1480</v>
      </c>
      <c r="K99">
        <f t="shared" si="21"/>
        <v>1.0999999999999091</v>
      </c>
      <c r="L99">
        <f t="shared" si="22"/>
        <v>0</v>
      </c>
      <c r="M99" t="str">
        <f t="shared" si="23"/>
        <v>UP</v>
      </c>
      <c r="N99">
        <f t="shared" si="24"/>
        <v>0.6999999999998181</v>
      </c>
      <c r="O99">
        <f t="shared" si="25"/>
        <v>0.29999999999995453</v>
      </c>
      <c r="P99">
        <f t="shared" si="26"/>
        <v>-0.5</v>
      </c>
      <c r="Q99">
        <f t="shared" si="27"/>
        <v>4.0999999999999091</v>
      </c>
      <c r="R99">
        <f t="shared" si="28"/>
        <v>1480.94</v>
      </c>
      <c r="S99">
        <f t="shared" si="29"/>
        <v>-4.9999999999954525E-2</v>
      </c>
      <c r="T99">
        <f t="shared" si="30"/>
        <v>1479.7740000000003</v>
      </c>
      <c r="U99">
        <f t="shared" si="31"/>
        <v>8.1999999999879947E-2</v>
      </c>
      <c r="V99">
        <f t="shared" si="32"/>
        <v>1478.731</v>
      </c>
      <c r="W99">
        <f t="shared" si="33"/>
        <v>2.9999999999745341E-2</v>
      </c>
      <c r="X99">
        <f t="shared" si="34"/>
        <v>1035.5595000000008</v>
      </c>
    </row>
    <row r="100" spans="1:24" x14ac:dyDescent="0.3">
      <c r="A100" t="s">
        <v>155</v>
      </c>
      <c r="B100">
        <v>1480.4</v>
      </c>
      <c r="C100">
        <v>1480.9</v>
      </c>
      <c r="D100">
        <v>1480</v>
      </c>
      <c r="E100">
        <v>1480.4</v>
      </c>
      <c r="F100">
        <v>3203</v>
      </c>
      <c r="G100">
        <v>0</v>
      </c>
      <c r="H100">
        <f t="shared" si="18"/>
        <v>1480.8</v>
      </c>
      <c r="I100">
        <f t="shared" si="19"/>
        <v>1480.9</v>
      </c>
      <c r="J100">
        <f t="shared" si="20"/>
        <v>1480</v>
      </c>
      <c r="K100">
        <f t="shared" si="21"/>
        <v>0.90000000000009095</v>
      </c>
      <c r="L100">
        <f t="shared" si="22"/>
        <v>-0.39999999999986358</v>
      </c>
      <c r="M100" t="str">
        <f t="shared" si="23"/>
        <v>DOWN</v>
      </c>
      <c r="N100">
        <f t="shared" si="24"/>
        <v>-0.39999999999986358</v>
      </c>
      <c r="O100">
        <f t="shared" si="25"/>
        <v>-0.39999999999986358</v>
      </c>
      <c r="P100">
        <f t="shared" si="26"/>
        <v>-9.9999999999909051E-2</v>
      </c>
      <c r="Q100">
        <f t="shared" si="27"/>
        <v>4.6000000000001364</v>
      </c>
      <c r="R100">
        <f t="shared" si="28"/>
        <v>1480.99</v>
      </c>
      <c r="S100">
        <f t="shared" si="29"/>
        <v>-9.9999999999909051E-3</v>
      </c>
      <c r="T100">
        <f t="shared" si="30"/>
        <v>1479.6920000000005</v>
      </c>
      <c r="U100">
        <f t="shared" si="31"/>
        <v>9.2000000000098225E-2</v>
      </c>
      <c r="V100">
        <f t="shared" si="32"/>
        <v>1478.7010000000002</v>
      </c>
      <c r="W100">
        <f t="shared" si="33"/>
        <v>2.1999999999707143E-2</v>
      </c>
      <c r="X100">
        <f t="shared" si="34"/>
        <v>1028.1540000000009</v>
      </c>
    </row>
    <row r="101" spans="1:24" x14ac:dyDescent="0.3">
      <c r="A101" t="s">
        <v>156</v>
      </c>
      <c r="B101">
        <v>1481</v>
      </c>
      <c r="C101">
        <v>1481</v>
      </c>
      <c r="D101">
        <v>1480</v>
      </c>
      <c r="E101">
        <v>1480.8</v>
      </c>
      <c r="F101">
        <v>2277</v>
      </c>
      <c r="G101">
        <v>0</v>
      </c>
      <c r="H101">
        <f t="shared" si="18"/>
        <v>1481</v>
      </c>
      <c r="I101">
        <f t="shared" si="19"/>
        <v>1481</v>
      </c>
      <c r="J101">
        <f t="shared" si="20"/>
        <v>1480</v>
      </c>
      <c r="K101">
        <f t="shared" si="21"/>
        <v>1</v>
      </c>
      <c r="L101">
        <f t="shared" si="22"/>
        <v>0</v>
      </c>
      <c r="M101" t="str">
        <f t="shared" si="23"/>
        <v>DOWN</v>
      </c>
      <c r="N101">
        <f t="shared" si="24"/>
        <v>-0.20000000000004547</v>
      </c>
      <c r="O101">
        <f t="shared" si="25"/>
        <v>-0.40000000000009095</v>
      </c>
      <c r="P101">
        <f t="shared" si="26"/>
        <v>0.20000000000004547</v>
      </c>
      <c r="Q101">
        <f t="shared" si="27"/>
        <v>5.5</v>
      </c>
      <c r="R101">
        <f t="shared" si="28"/>
        <v>1481</v>
      </c>
      <c r="S101">
        <f t="shared" si="29"/>
        <v>1.999999999998181E-2</v>
      </c>
      <c r="T101">
        <f t="shared" si="30"/>
        <v>1479.6000000000004</v>
      </c>
      <c r="U101">
        <f t="shared" si="31"/>
        <v>0.11000000000012733</v>
      </c>
      <c r="V101">
        <f t="shared" si="32"/>
        <v>1478.6790000000005</v>
      </c>
      <c r="W101">
        <f t="shared" si="33"/>
        <v>3.4000000000332875E-2</v>
      </c>
      <c r="X101">
        <f t="shared" si="34"/>
        <v>1020.7520000000009</v>
      </c>
    </row>
    <row r="102" spans="1:24" x14ac:dyDescent="0.3">
      <c r="A102" t="s">
        <v>157</v>
      </c>
      <c r="B102">
        <v>1480</v>
      </c>
      <c r="C102">
        <v>1481</v>
      </c>
      <c r="D102">
        <v>1480</v>
      </c>
      <c r="E102">
        <v>1481</v>
      </c>
      <c r="F102">
        <v>5954</v>
      </c>
      <c r="G102">
        <v>0</v>
      </c>
      <c r="H102">
        <f t="shared" si="18"/>
        <v>1480</v>
      </c>
      <c r="I102">
        <f t="shared" si="19"/>
        <v>1481</v>
      </c>
      <c r="J102">
        <f t="shared" si="20"/>
        <v>1480</v>
      </c>
      <c r="K102">
        <f t="shared" si="21"/>
        <v>1</v>
      </c>
      <c r="L102">
        <f t="shared" si="22"/>
        <v>0</v>
      </c>
      <c r="M102" t="str">
        <f t="shared" si="23"/>
        <v>UP</v>
      </c>
      <c r="N102">
        <f t="shared" si="24"/>
        <v>1</v>
      </c>
      <c r="O102">
        <f t="shared" si="25"/>
        <v>-0.90000000000009095</v>
      </c>
      <c r="P102">
        <f t="shared" si="26"/>
        <v>9.9999999999909051E-2</v>
      </c>
      <c r="Q102">
        <f t="shared" si="27"/>
        <v>4.7000000000000455</v>
      </c>
      <c r="R102">
        <f t="shared" si="28"/>
        <v>1480.98</v>
      </c>
      <c r="S102">
        <f t="shared" si="29"/>
        <v>9.9999999999909051E-3</v>
      </c>
      <c r="T102">
        <f t="shared" si="30"/>
        <v>1479.4900000000002</v>
      </c>
      <c r="U102">
        <f t="shared" si="31"/>
        <v>9.3999999999823558E-2</v>
      </c>
      <c r="V102">
        <f t="shared" si="32"/>
        <v>1478.6450000000002</v>
      </c>
      <c r="W102">
        <f t="shared" si="33"/>
        <v>3.8999999999759893E-2</v>
      </c>
      <c r="X102">
        <f t="shared" si="34"/>
        <v>1013.3480000000008</v>
      </c>
    </row>
    <row r="103" spans="1:24" x14ac:dyDescent="0.3">
      <c r="A103" t="s">
        <v>44</v>
      </c>
      <c r="B103">
        <v>1480.7</v>
      </c>
      <c r="C103">
        <v>1481.1</v>
      </c>
      <c r="D103">
        <v>1480</v>
      </c>
      <c r="E103">
        <v>1480</v>
      </c>
      <c r="F103">
        <v>5581</v>
      </c>
      <c r="G103">
        <v>0</v>
      </c>
      <c r="H103">
        <f t="shared" si="18"/>
        <v>1480.8</v>
      </c>
      <c r="I103">
        <f t="shared" si="19"/>
        <v>1481.1</v>
      </c>
      <c r="J103">
        <f t="shared" si="20"/>
        <v>1480</v>
      </c>
      <c r="K103">
        <f t="shared" si="21"/>
        <v>1.0999999999999091</v>
      </c>
      <c r="L103">
        <f t="shared" si="22"/>
        <v>-9.9999999999909051E-2</v>
      </c>
      <c r="M103" t="str">
        <f t="shared" si="23"/>
        <v>DOWN</v>
      </c>
      <c r="N103">
        <f t="shared" si="24"/>
        <v>-0.79999999999995453</v>
      </c>
      <c r="O103">
        <f t="shared" si="25"/>
        <v>-1.4000000000000909</v>
      </c>
      <c r="P103">
        <f t="shared" si="26"/>
        <v>-0.5</v>
      </c>
      <c r="Q103">
        <f t="shared" si="27"/>
        <v>4.7000000000000455</v>
      </c>
      <c r="R103">
        <f t="shared" si="28"/>
        <v>1480.97</v>
      </c>
      <c r="S103">
        <f t="shared" si="29"/>
        <v>-4.9999999999954525E-2</v>
      </c>
      <c r="T103">
        <f t="shared" si="30"/>
        <v>1479.3960000000004</v>
      </c>
      <c r="U103">
        <f t="shared" si="31"/>
        <v>9.4000000000050932E-2</v>
      </c>
      <c r="V103">
        <f t="shared" si="32"/>
        <v>1478.6060000000004</v>
      </c>
      <c r="W103">
        <f t="shared" si="33"/>
        <v>3.5000000000309228E-2</v>
      </c>
      <c r="X103">
        <f t="shared" si="34"/>
        <v>1005.9430000000008</v>
      </c>
    </row>
    <row r="104" spans="1:24" x14ac:dyDescent="0.3">
      <c r="A104" t="s">
        <v>158</v>
      </c>
      <c r="B104">
        <v>1480.9</v>
      </c>
      <c r="C104">
        <v>1481.5</v>
      </c>
      <c r="D104">
        <v>1480.8</v>
      </c>
      <c r="E104">
        <v>1480.8</v>
      </c>
      <c r="F104">
        <v>3029</v>
      </c>
      <c r="G104">
        <v>0</v>
      </c>
      <c r="H104">
        <f t="shared" si="18"/>
        <v>1480.8</v>
      </c>
      <c r="I104">
        <f t="shared" si="19"/>
        <v>1481.5</v>
      </c>
      <c r="J104">
        <f t="shared" si="20"/>
        <v>1480.8</v>
      </c>
      <c r="K104">
        <f t="shared" si="21"/>
        <v>0.70000000000004547</v>
      </c>
      <c r="L104">
        <f t="shared" si="22"/>
        <v>0.10000000000013642</v>
      </c>
      <c r="M104" t="str">
        <f t="shared" si="23"/>
        <v>DOWN</v>
      </c>
      <c r="N104">
        <f t="shared" si="24"/>
        <v>0</v>
      </c>
      <c r="O104">
        <f t="shared" si="25"/>
        <v>-0.79999999999995453</v>
      </c>
      <c r="P104">
        <f t="shared" si="26"/>
        <v>0.70000000000004547</v>
      </c>
      <c r="Q104">
        <f t="shared" si="27"/>
        <v>5.2000000000000455</v>
      </c>
      <c r="R104">
        <f t="shared" si="28"/>
        <v>1481.02</v>
      </c>
      <c r="S104">
        <f t="shared" si="29"/>
        <v>6.9999999999936335E-2</v>
      </c>
      <c r="T104">
        <f t="shared" si="30"/>
        <v>1479.3020000000004</v>
      </c>
      <c r="U104">
        <f t="shared" si="31"/>
        <v>0.10399999999981446</v>
      </c>
      <c r="V104">
        <f t="shared" si="32"/>
        <v>1478.5710000000001</v>
      </c>
      <c r="W104">
        <f t="shared" si="33"/>
        <v>3.8000000000010914E-2</v>
      </c>
      <c r="X104">
        <f t="shared" si="34"/>
        <v>998.54300000000057</v>
      </c>
    </row>
    <row r="105" spans="1:24" x14ac:dyDescent="0.3">
      <c r="A105" t="s">
        <v>159</v>
      </c>
      <c r="B105">
        <v>1481.6</v>
      </c>
      <c r="C105">
        <v>1482</v>
      </c>
      <c r="D105">
        <v>1480.8</v>
      </c>
      <c r="E105">
        <v>1480.8</v>
      </c>
      <c r="F105">
        <v>3390</v>
      </c>
      <c r="G105">
        <v>0</v>
      </c>
      <c r="H105">
        <f t="shared" si="18"/>
        <v>1481.2</v>
      </c>
      <c r="I105">
        <f t="shared" si="19"/>
        <v>1482</v>
      </c>
      <c r="J105">
        <f t="shared" si="20"/>
        <v>1480.8</v>
      </c>
      <c r="K105">
        <f t="shared" si="21"/>
        <v>1.2000000000000455</v>
      </c>
      <c r="L105">
        <f t="shared" si="22"/>
        <v>0.39999999999986358</v>
      </c>
      <c r="M105" t="str">
        <f t="shared" si="23"/>
        <v>DOWN</v>
      </c>
      <c r="N105">
        <f t="shared" si="24"/>
        <v>-0.40000000000009095</v>
      </c>
      <c r="O105">
        <f t="shared" si="25"/>
        <v>0.29999999999995453</v>
      </c>
      <c r="P105">
        <f t="shared" si="26"/>
        <v>0.70000000000004547</v>
      </c>
      <c r="Q105">
        <f t="shared" si="27"/>
        <v>3.7999999999999545</v>
      </c>
      <c r="R105">
        <f t="shared" si="28"/>
        <v>1480.95</v>
      </c>
      <c r="S105">
        <f t="shared" si="29"/>
        <v>6.9999999999936335E-2</v>
      </c>
      <c r="T105">
        <f t="shared" si="30"/>
        <v>1479.1980000000005</v>
      </c>
      <c r="U105">
        <f t="shared" si="31"/>
        <v>7.6000000000249202E-2</v>
      </c>
      <c r="V105">
        <f t="shared" si="32"/>
        <v>1478.5330000000001</v>
      </c>
      <c r="W105">
        <f t="shared" si="33"/>
        <v>3.0999999999949068E-2</v>
      </c>
      <c r="X105">
        <f t="shared" si="34"/>
        <v>991.13900000000069</v>
      </c>
    </row>
    <row r="106" spans="1:24" x14ac:dyDescent="0.3">
      <c r="A106" t="s">
        <v>160</v>
      </c>
      <c r="B106">
        <v>1481.4</v>
      </c>
      <c r="C106">
        <v>1482.3</v>
      </c>
      <c r="D106">
        <v>1481</v>
      </c>
      <c r="E106">
        <v>1481.2</v>
      </c>
      <c r="F106">
        <v>5096</v>
      </c>
      <c r="G106">
        <v>0</v>
      </c>
      <c r="H106">
        <f t="shared" si="18"/>
        <v>1481.9</v>
      </c>
      <c r="I106">
        <f t="shared" si="19"/>
        <v>1482.3</v>
      </c>
      <c r="J106">
        <f t="shared" si="20"/>
        <v>1481</v>
      </c>
      <c r="K106">
        <f t="shared" si="21"/>
        <v>1.2999999999999545</v>
      </c>
      <c r="L106">
        <f t="shared" si="22"/>
        <v>-0.5</v>
      </c>
      <c r="M106" t="str">
        <f t="shared" si="23"/>
        <v>DOWN</v>
      </c>
      <c r="N106">
        <f t="shared" si="24"/>
        <v>-0.70000000000004547</v>
      </c>
      <c r="O106">
        <f t="shared" si="25"/>
        <v>0.60000000000013642</v>
      </c>
      <c r="P106">
        <f t="shared" si="26"/>
        <v>0.29999999999995453</v>
      </c>
      <c r="Q106">
        <f t="shared" si="27"/>
        <v>5.2999999999999545</v>
      </c>
      <c r="R106">
        <f t="shared" si="28"/>
        <v>1480.88</v>
      </c>
      <c r="S106">
        <f t="shared" si="29"/>
        <v>3.0000000000200089E-2</v>
      </c>
      <c r="T106">
        <f t="shared" si="30"/>
        <v>1479.1220000000003</v>
      </c>
      <c r="U106">
        <f t="shared" si="31"/>
        <v>0.10600000000022192</v>
      </c>
      <c r="V106">
        <f t="shared" si="32"/>
        <v>1478.5020000000002</v>
      </c>
      <c r="W106">
        <f t="shared" si="33"/>
        <v>2.9999999999972715E-2</v>
      </c>
      <c r="X106">
        <f t="shared" si="34"/>
        <v>983.73500000000058</v>
      </c>
    </row>
    <row r="107" spans="1:24" x14ac:dyDescent="0.3">
      <c r="A107" t="s">
        <v>161</v>
      </c>
      <c r="B107">
        <v>1480.7</v>
      </c>
      <c r="C107">
        <v>1482.6</v>
      </c>
      <c r="D107">
        <v>1480.4</v>
      </c>
      <c r="E107">
        <v>1481.9</v>
      </c>
      <c r="F107">
        <v>41692</v>
      </c>
      <c r="G107">
        <v>0</v>
      </c>
      <c r="H107">
        <f t="shared" si="18"/>
        <v>1481.4</v>
      </c>
      <c r="I107">
        <f t="shared" si="19"/>
        <v>1482.6</v>
      </c>
      <c r="J107">
        <f t="shared" si="20"/>
        <v>1480.4</v>
      </c>
      <c r="K107">
        <f t="shared" si="21"/>
        <v>2.1999999999998181</v>
      </c>
      <c r="L107">
        <f t="shared" si="22"/>
        <v>-0.70000000000004547</v>
      </c>
      <c r="M107" t="str">
        <f t="shared" si="23"/>
        <v>UP</v>
      </c>
      <c r="N107">
        <f t="shared" si="24"/>
        <v>0.5</v>
      </c>
      <c r="O107">
        <f t="shared" si="25"/>
        <v>1</v>
      </c>
      <c r="P107">
        <f t="shared" si="26"/>
        <v>1.1000000000001364</v>
      </c>
      <c r="Q107">
        <f t="shared" si="27"/>
        <v>6.7000000000000455</v>
      </c>
      <c r="R107">
        <f t="shared" si="28"/>
        <v>1480.85</v>
      </c>
      <c r="S107">
        <f t="shared" si="29"/>
        <v>0.10999999999989996</v>
      </c>
      <c r="T107">
        <f t="shared" si="30"/>
        <v>1479.0160000000001</v>
      </c>
      <c r="U107">
        <f t="shared" si="31"/>
        <v>0.13400000000001455</v>
      </c>
      <c r="V107">
        <f t="shared" si="32"/>
        <v>1478.4720000000002</v>
      </c>
      <c r="W107">
        <f t="shared" si="33"/>
        <v>4.2999999999665306E-2</v>
      </c>
      <c r="X107">
        <f t="shared" si="34"/>
        <v>976.32900000000052</v>
      </c>
    </row>
    <row r="108" spans="1:24" x14ac:dyDescent="0.3">
      <c r="A108" t="s">
        <v>45</v>
      </c>
      <c r="B108">
        <v>1481.6</v>
      </c>
      <c r="C108">
        <v>1482.2</v>
      </c>
      <c r="D108">
        <v>1480</v>
      </c>
      <c r="E108">
        <v>1481.4</v>
      </c>
      <c r="F108">
        <v>41716</v>
      </c>
      <c r="G108">
        <v>0</v>
      </c>
      <c r="H108">
        <f t="shared" si="18"/>
        <v>1481.6</v>
      </c>
      <c r="I108">
        <f t="shared" si="19"/>
        <v>1482.2</v>
      </c>
      <c r="J108">
        <f t="shared" si="20"/>
        <v>1480</v>
      </c>
      <c r="K108">
        <f t="shared" si="21"/>
        <v>2.2000000000000455</v>
      </c>
      <c r="L108">
        <f t="shared" si="22"/>
        <v>0</v>
      </c>
      <c r="M108" t="str">
        <f t="shared" si="23"/>
        <v>DOWN</v>
      </c>
      <c r="N108">
        <f t="shared" si="24"/>
        <v>-0.1999999999998181</v>
      </c>
      <c r="O108">
        <f t="shared" si="25"/>
        <v>0.90000000000009095</v>
      </c>
      <c r="P108">
        <f t="shared" si="26"/>
        <v>0</v>
      </c>
      <c r="Q108">
        <f t="shared" si="27"/>
        <v>5.4000000000000909</v>
      </c>
      <c r="R108">
        <f t="shared" si="28"/>
        <v>1480.74</v>
      </c>
      <c r="S108">
        <f t="shared" si="29"/>
        <v>0</v>
      </c>
      <c r="T108">
        <f t="shared" si="30"/>
        <v>1478.8820000000001</v>
      </c>
      <c r="U108">
        <f t="shared" si="31"/>
        <v>0.10800000000017462</v>
      </c>
      <c r="V108">
        <f t="shared" si="32"/>
        <v>1478.4290000000005</v>
      </c>
      <c r="W108">
        <f t="shared" si="33"/>
        <v>2.3000000000138243E-2</v>
      </c>
      <c r="X108">
        <f t="shared" si="34"/>
        <v>968.91950000000065</v>
      </c>
    </row>
    <row r="109" spans="1:24" x14ac:dyDescent="0.3">
      <c r="A109" t="s">
        <v>162</v>
      </c>
      <c r="B109">
        <v>1481.3</v>
      </c>
      <c r="C109">
        <v>1481.8</v>
      </c>
      <c r="D109">
        <v>1480.4</v>
      </c>
      <c r="E109">
        <v>1481.6</v>
      </c>
      <c r="F109">
        <v>4199</v>
      </c>
      <c r="G109">
        <v>0</v>
      </c>
      <c r="H109">
        <f t="shared" si="18"/>
        <v>1480.5</v>
      </c>
      <c r="I109">
        <f t="shared" si="19"/>
        <v>1481.8</v>
      </c>
      <c r="J109">
        <f t="shared" si="20"/>
        <v>1480.4</v>
      </c>
      <c r="K109">
        <f t="shared" si="21"/>
        <v>1.3999999999998636</v>
      </c>
      <c r="L109">
        <f t="shared" si="22"/>
        <v>0.79999999999995453</v>
      </c>
      <c r="M109" t="str">
        <f t="shared" si="23"/>
        <v>UP</v>
      </c>
      <c r="N109">
        <f t="shared" si="24"/>
        <v>1.0999999999999091</v>
      </c>
      <c r="O109">
        <f t="shared" si="25"/>
        <v>1.5</v>
      </c>
      <c r="P109">
        <f t="shared" si="26"/>
        <v>0.1999999999998181</v>
      </c>
      <c r="Q109">
        <f t="shared" si="27"/>
        <v>6</v>
      </c>
      <c r="R109">
        <f t="shared" si="28"/>
        <v>1480.74</v>
      </c>
      <c r="S109">
        <f t="shared" si="29"/>
        <v>2.0000000000209184E-2</v>
      </c>
      <c r="T109">
        <f t="shared" si="30"/>
        <v>1478.7739999999999</v>
      </c>
      <c r="U109">
        <f t="shared" si="31"/>
        <v>0.11999999999966349</v>
      </c>
      <c r="V109">
        <f t="shared" si="32"/>
        <v>1478.4060000000004</v>
      </c>
      <c r="W109">
        <f t="shared" si="33"/>
        <v>4.5999999999821739E-2</v>
      </c>
      <c r="X109">
        <f t="shared" si="34"/>
        <v>961.51250000000061</v>
      </c>
    </row>
    <row r="110" spans="1:24" x14ac:dyDescent="0.3">
      <c r="A110" t="s">
        <v>163</v>
      </c>
      <c r="B110">
        <v>1480.8</v>
      </c>
      <c r="C110">
        <v>1481.9</v>
      </c>
      <c r="D110">
        <v>1480.5</v>
      </c>
      <c r="E110">
        <v>1480.5</v>
      </c>
      <c r="F110">
        <v>5793</v>
      </c>
      <c r="G110">
        <v>0</v>
      </c>
      <c r="H110">
        <f t="shared" si="18"/>
        <v>1480.6</v>
      </c>
      <c r="I110">
        <f t="shared" si="19"/>
        <v>1481.9</v>
      </c>
      <c r="J110">
        <f t="shared" si="20"/>
        <v>1480.5</v>
      </c>
      <c r="K110">
        <f t="shared" si="21"/>
        <v>1.4000000000000909</v>
      </c>
      <c r="L110">
        <f t="shared" si="22"/>
        <v>0.20000000000004547</v>
      </c>
      <c r="M110" t="str">
        <f t="shared" si="23"/>
        <v>DOWN</v>
      </c>
      <c r="N110">
        <f t="shared" si="24"/>
        <v>-9.9999999999909051E-2</v>
      </c>
      <c r="O110">
        <f t="shared" si="25"/>
        <v>0.40000000000009095</v>
      </c>
      <c r="P110">
        <f t="shared" si="26"/>
        <v>-1.5</v>
      </c>
      <c r="Q110">
        <f t="shared" si="27"/>
        <v>5.2999999999999545</v>
      </c>
      <c r="R110">
        <f t="shared" si="28"/>
        <v>1480.7199999999998</v>
      </c>
      <c r="S110">
        <f t="shared" si="29"/>
        <v>-0.15000000000009095</v>
      </c>
      <c r="T110">
        <f t="shared" si="30"/>
        <v>1478.6540000000002</v>
      </c>
      <c r="U110">
        <f t="shared" si="31"/>
        <v>0.10599999999999454</v>
      </c>
      <c r="V110">
        <f t="shared" si="32"/>
        <v>1478.3600000000006</v>
      </c>
      <c r="W110">
        <f t="shared" si="33"/>
        <v>4.5000000000300133E-2</v>
      </c>
      <c r="X110">
        <f t="shared" si="34"/>
        <v>954.10450000000071</v>
      </c>
    </row>
    <row r="111" spans="1:24" x14ac:dyDescent="0.3">
      <c r="A111" t="s">
        <v>164</v>
      </c>
      <c r="B111">
        <v>1481</v>
      </c>
      <c r="C111">
        <v>1482.7</v>
      </c>
      <c r="D111">
        <v>1480.4</v>
      </c>
      <c r="E111">
        <v>1480.6</v>
      </c>
      <c r="F111">
        <v>5781</v>
      </c>
      <c r="G111">
        <v>0</v>
      </c>
      <c r="H111">
        <f t="shared" si="18"/>
        <v>1480.9</v>
      </c>
      <c r="I111">
        <f t="shared" si="19"/>
        <v>1482.7</v>
      </c>
      <c r="J111">
        <f t="shared" si="20"/>
        <v>1480.4</v>
      </c>
      <c r="K111">
        <f t="shared" si="21"/>
        <v>2.2999999999999545</v>
      </c>
      <c r="L111">
        <f t="shared" si="22"/>
        <v>9.9999999999909051E-2</v>
      </c>
      <c r="M111" t="str">
        <f t="shared" si="23"/>
        <v>DOWN</v>
      </c>
      <c r="N111">
        <f t="shared" si="24"/>
        <v>-0.3000000000001819</v>
      </c>
      <c r="O111">
        <f t="shared" si="25"/>
        <v>-0.3000000000001819</v>
      </c>
      <c r="P111">
        <f t="shared" si="26"/>
        <v>-2</v>
      </c>
      <c r="Q111">
        <f t="shared" si="27"/>
        <v>5.5</v>
      </c>
      <c r="R111">
        <f t="shared" si="28"/>
        <v>1480.87</v>
      </c>
      <c r="S111">
        <f t="shared" si="29"/>
        <v>-0.20000000000004547</v>
      </c>
      <c r="T111">
        <f t="shared" si="30"/>
        <v>1478.5480000000002</v>
      </c>
      <c r="U111">
        <f t="shared" si="31"/>
        <v>0.11000000000012733</v>
      </c>
      <c r="V111">
        <f t="shared" si="32"/>
        <v>1478.3150000000003</v>
      </c>
      <c r="W111">
        <f t="shared" si="33"/>
        <v>3.3999999999878128E-2</v>
      </c>
      <c r="X111">
        <f t="shared" si="34"/>
        <v>946.70200000000057</v>
      </c>
    </row>
    <row r="112" spans="1:24" x14ac:dyDescent="0.3">
      <c r="A112" t="s">
        <v>165</v>
      </c>
      <c r="B112">
        <v>1480.4</v>
      </c>
      <c r="C112">
        <v>1481.7</v>
      </c>
      <c r="D112">
        <v>1480.4</v>
      </c>
      <c r="E112">
        <v>1480.9</v>
      </c>
      <c r="F112">
        <v>6096</v>
      </c>
      <c r="G112">
        <v>0</v>
      </c>
      <c r="H112">
        <f t="shared" si="18"/>
        <v>1480.5</v>
      </c>
      <c r="I112">
        <f t="shared" si="19"/>
        <v>1481.7</v>
      </c>
      <c r="J112">
        <f t="shared" si="20"/>
        <v>1480.4</v>
      </c>
      <c r="K112">
        <f t="shared" si="21"/>
        <v>1.2999999999999545</v>
      </c>
      <c r="L112">
        <f t="shared" si="22"/>
        <v>-9.9999999999909051E-2</v>
      </c>
      <c r="M112" t="str">
        <f t="shared" si="23"/>
        <v>UP</v>
      </c>
      <c r="N112">
        <f t="shared" si="24"/>
        <v>0.40000000000009095</v>
      </c>
      <c r="O112">
        <f t="shared" si="25"/>
        <v>0.10000000000013642</v>
      </c>
      <c r="P112">
        <f t="shared" si="26"/>
        <v>-1.2999999999999545</v>
      </c>
      <c r="Q112">
        <f t="shared" si="27"/>
        <v>4.4000000000000909</v>
      </c>
      <c r="R112">
        <f t="shared" si="28"/>
        <v>1481.07</v>
      </c>
      <c r="S112">
        <f t="shared" si="29"/>
        <v>-0.13000000000033651</v>
      </c>
      <c r="T112">
        <f t="shared" si="30"/>
        <v>1478.4380000000001</v>
      </c>
      <c r="U112">
        <f t="shared" si="31"/>
        <v>8.7999999999510692E-2</v>
      </c>
      <c r="V112">
        <f t="shared" si="32"/>
        <v>1478.2810000000004</v>
      </c>
      <c r="W112">
        <f t="shared" si="33"/>
        <v>2.7999999999565262E-2</v>
      </c>
      <c r="X112">
        <f t="shared" si="34"/>
        <v>939.29900000000055</v>
      </c>
    </row>
    <row r="113" spans="1:24" x14ac:dyDescent="0.3">
      <c r="A113" t="s">
        <v>46</v>
      </c>
      <c r="B113">
        <v>1480.5</v>
      </c>
      <c r="C113">
        <v>1481</v>
      </c>
      <c r="D113">
        <v>1480</v>
      </c>
      <c r="E113">
        <v>1480.5</v>
      </c>
      <c r="F113">
        <v>4064</v>
      </c>
      <c r="G113">
        <v>0</v>
      </c>
      <c r="H113">
        <f t="shared" si="18"/>
        <v>1480.1</v>
      </c>
      <c r="I113">
        <f t="shared" si="19"/>
        <v>1481</v>
      </c>
      <c r="J113">
        <f t="shared" si="20"/>
        <v>1480</v>
      </c>
      <c r="K113">
        <f t="shared" si="21"/>
        <v>1</v>
      </c>
      <c r="L113">
        <f t="shared" si="22"/>
        <v>0.40000000000009095</v>
      </c>
      <c r="M113" t="str">
        <f t="shared" si="23"/>
        <v>UP</v>
      </c>
      <c r="N113">
        <f t="shared" si="24"/>
        <v>0.40000000000009095</v>
      </c>
      <c r="O113">
        <f t="shared" si="25"/>
        <v>-0.90000000000009095</v>
      </c>
      <c r="P113">
        <f t="shared" si="26"/>
        <v>-2.2999999999999545</v>
      </c>
      <c r="Q113">
        <f t="shared" si="27"/>
        <v>4.7000000000000455</v>
      </c>
      <c r="R113">
        <f t="shared" si="28"/>
        <v>1481.2000000000003</v>
      </c>
      <c r="S113">
        <f t="shared" si="29"/>
        <v>-0.22999999999979082</v>
      </c>
      <c r="T113">
        <f t="shared" si="30"/>
        <v>1478.3500000000006</v>
      </c>
      <c r="U113">
        <f t="shared" si="31"/>
        <v>9.4000000000050932E-2</v>
      </c>
      <c r="V113">
        <f t="shared" si="32"/>
        <v>1478.2530000000008</v>
      </c>
      <c r="W113">
        <f t="shared" si="33"/>
        <v>1.9000000000232831E-2</v>
      </c>
      <c r="X113">
        <f t="shared" si="34"/>
        <v>931.89450000000068</v>
      </c>
    </row>
    <row r="114" spans="1:24" x14ac:dyDescent="0.3">
      <c r="A114" t="s">
        <v>166</v>
      </c>
      <c r="B114">
        <v>1480.1</v>
      </c>
      <c r="C114">
        <v>1480.6</v>
      </c>
      <c r="D114">
        <v>1479.1</v>
      </c>
      <c r="E114">
        <v>1480.1</v>
      </c>
      <c r="F114">
        <v>10589</v>
      </c>
      <c r="G114">
        <v>0</v>
      </c>
      <c r="H114">
        <f t="shared" si="18"/>
        <v>1480.1</v>
      </c>
      <c r="I114">
        <f t="shared" si="19"/>
        <v>1480.6</v>
      </c>
      <c r="J114">
        <f t="shared" si="20"/>
        <v>1479.1</v>
      </c>
      <c r="K114">
        <f t="shared" si="21"/>
        <v>1.5</v>
      </c>
      <c r="L114">
        <f t="shared" si="22"/>
        <v>0</v>
      </c>
      <c r="M114" t="str">
        <f t="shared" si="23"/>
        <v>DOWN</v>
      </c>
      <c r="N114">
        <f t="shared" si="24"/>
        <v>0</v>
      </c>
      <c r="O114">
        <f t="shared" si="25"/>
        <v>-1.3000000000001819</v>
      </c>
      <c r="P114">
        <f t="shared" si="26"/>
        <v>-2.6000000000001364</v>
      </c>
      <c r="Q114">
        <f t="shared" si="27"/>
        <v>5.1999999999998181</v>
      </c>
      <c r="R114">
        <f t="shared" si="28"/>
        <v>1481.43</v>
      </c>
      <c r="S114">
        <f t="shared" si="29"/>
        <v>-0.25999999999999091</v>
      </c>
      <c r="T114">
        <f t="shared" si="30"/>
        <v>1478.2560000000005</v>
      </c>
      <c r="U114">
        <f t="shared" si="31"/>
        <v>0.10400000000004184</v>
      </c>
      <c r="V114">
        <f t="shared" si="32"/>
        <v>1478.2340000000006</v>
      </c>
      <c r="W114">
        <f t="shared" si="33"/>
        <v>2.1000000000185537E-2</v>
      </c>
      <c r="X114">
        <f t="shared" si="34"/>
        <v>924.49200000000053</v>
      </c>
    </row>
    <row r="115" spans="1:24" x14ac:dyDescent="0.3">
      <c r="A115" t="s">
        <v>167</v>
      </c>
      <c r="B115">
        <v>1480.4</v>
      </c>
      <c r="C115">
        <v>1480.9</v>
      </c>
      <c r="D115">
        <v>1480.1</v>
      </c>
      <c r="E115">
        <v>1480.1</v>
      </c>
      <c r="F115">
        <v>3080</v>
      </c>
      <c r="G115">
        <v>0</v>
      </c>
      <c r="H115">
        <f t="shared" si="18"/>
        <v>1480.9</v>
      </c>
      <c r="I115">
        <f t="shared" si="19"/>
        <v>1480.9</v>
      </c>
      <c r="J115">
        <f t="shared" si="20"/>
        <v>1480.1</v>
      </c>
      <c r="K115">
        <f t="shared" si="21"/>
        <v>0.8000000000001819</v>
      </c>
      <c r="L115">
        <f t="shared" si="22"/>
        <v>-0.5</v>
      </c>
      <c r="M115" t="str">
        <f t="shared" si="23"/>
        <v>DOWN</v>
      </c>
      <c r="N115">
        <f t="shared" si="24"/>
        <v>-0.8000000000001819</v>
      </c>
      <c r="O115">
        <f t="shared" si="25"/>
        <v>-1.9000000000000909</v>
      </c>
      <c r="P115">
        <f t="shared" si="26"/>
        <v>-1</v>
      </c>
      <c r="Q115">
        <f t="shared" si="27"/>
        <v>4.7999999999999545</v>
      </c>
      <c r="R115">
        <f t="shared" si="28"/>
        <v>1481.69</v>
      </c>
      <c r="S115">
        <f t="shared" si="29"/>
        <v>-0.10000000000013642</v>
      </c>
      <c r="T115">
        <f t="shared" si="30"/>
        <v>1478.1520000000005</v>
      </c>
      <c r="U115">
        <f t="shared" si="31"/>
        <v>9.6000000000231012E-2</v>
      </c>
      <c r="V115">
        <f t="shared" si="32"/>
        <v>1478.2130000000004</v>
      </c>
      <c r="W115">
        <f t="shared" si="33"/>
        <v>-1.8000000000256478E-2</v>
      </c>
      <c r="X115">
        <f t="shared" si="34"/>
        <v>917.09150000000056</v>
      </c>
    </row>
    <row r="116" spans="1:24" x14ac:dyDescent="0.3">
      <c r="A116" t="s">
        <v>168</v>
      </c>
      <c r="B116">
        <v>1480.8</v>
      </c>
      <c r="C116">
        <v>1481</v>
      </c>
      <c r="D116">
        <v>1480.1</v>
      </c>
      <c r="E116">
        <v>1480.9</v>
      </c>
      <c r="F116">
        <v>3062</v>
      </c>
      <c r="G116">
        <v>0</v>
      </c>
      <c r="H116">
        <f t="shared" si="18"/>
        <v>1480.8</v>
      </c>
      <c r="I116">
        <f t="shared" si="19"/>
        <v>1481</v>
      </c>
      <c r="J116">
        <f t="shared" si="20"/>
        <v>1480.1</v>
      </c>
      <c r="K116">
        <f t="shared" si="21"/>
        <v>0.90000000000009095</v>
      </c>
      <c r="L116">
        <f t="shared" si="22"/>
        <v>0</v>
      </c>
      <c r="M116" t="str">
        <f t="shared" si="23"/>
        <v>UP</v>
      </c>
      <c r="N116">
        <f t="shared" si="24"/>
        <v>0.10000000000013642</v>
      </c>
      <c r="O116">
        <f t="shared" si="25"/>
        <v>-1.6999999999998181</v>
      </c>
      <c r="P116">
        <f t="shared" si="26"/>
        <v>-0.39999999999986358</v>
      </c>
      <c r="Q116">
        <f t="shared" si="27"/>
        <v>5.7000000000000455</v>
      </c>
      <c r="R116">
        <f t="shared" si="28"/>
        <v>1481.7900000000002</v>
      </c>
      <c r="S116">
        <f t="shared" si="29"/>
        <v>-3.999999999996362E-2</v>
      </c>
      <c r="T116">
        <f t="shared" si="30"/>
        <v>1478.0560000000003</v>
      </c>
      <c r="U116">
        <f t="shared" si="31"/>
        <v>0.11400000000026012</v>
      </c>
      <c r="V116">
        <f t="shared" si="32"/>
        <v>1478.2310000000007</v>
      </c>
      <c r="W116">
        <f t="shared" si="33"/>
        <v>-4.999999999654392E-3</v>
      </c>
      <c r="X116">
        <f t="shared" si="34"/>
        <v>909.6910000000006</v>
      </c>
    </row>
    <row r="117" spans="1:24" x14ac:dyDescent="0.3">
      <c r="A117" t="s">
        <v>169</v>
      </c>
      <c r="B117">
        <v>1481.4</v>
      </c>
      <c r="C117">
        <v>1481.5</v>
      </c>
      <c r="D117">
        <v>1480.8</v>
      </c>
      <c r="E117">
        <v>1480.8</v>
      </c>
      <c r="F117">
        <v>12513</v>
      </c>
      <c r="G117">
        <v>0</v>
      </c>
      <c r="H117">
        <f t="shared" si="18"/>
        <v>1481.4</v>
      </c>
      <c r="I117">
        <f t="shared" si="19"/>
        <v>1481.5</v>
      </c>
      <c r="J117">
        <f t="shared" si="20"/>
        <v>1480.8</v>
      </c>
      <c r="K117">
        <f t="shared" si="21"/>
        <v>0.70000000000004547</v>
      </c>
      <c r="L117">
        <f t="shared" si="22"/>
        <v>0</v>
      </c>
      <c r="M117" t="str">
        <f t="shared" si="23"/>
        <v>DOWN</v>
      </c>
      <c r="N117">
        <f t="shared" si="24"/>
        <v>-0.60000000000013642</v>
      </c>
      <c r="O117">
        <f t="shared" si="25"/>
        <v>-1.4000000000000909</v>
      </c>
      <c r="P117">
        <f t="shared" si="26"/>
        <v>-1.1000000000001364</v>
      </c>
      <c r="Q117">
        <f t="shared" si="27"/>
        <v>4.3999999999998636</v>
      </c>
      <c r="R117">
        <f t="shared" si="28"/>
        <v>1481.8300000000002</v>
      </c>
      <c r="S117">
        <f t="shared" si="29"/>
        <v>-0.10999999999989996</v>
      </c>
      <c r="T117">
        <f t="shared" si="30"/>
        <v>1477.942</v>
      </c>
      <c r="U117">
        <f t="shared" si="31"/>
        <v>8.7999999999965439E-2</v>
      </c>
      <c r="V117">
        <f t="shared" si="32"/>
        <v>1478.2360000000003</v>
      </c>
      <c r="W117">
        <f t="shared" si="33"/>
        <v>-2.1999999999934516E-2</v>
      </c>
      <c r="X117">
        <f t="shared" si="34"/>
        <v>902.2865000000005</v>
      </c>
    </row>
    <row r="118" spans="1:24" x14ac:dyDescent="0.3">
      <c r="A118" t="s">
        <v>47</v>
      </c>
      <c r="B118">
        <v>1481.8</v>
      </c>
      <c r="C118">
        <v>1481.9</v>
      </c>
      <c r="D118">
        <v>1481.2</v>
      </c>
      <c r="E118">
        <v>1481.4</v>
      </c>
      <c r="F118">
        <v>7688</v>
      </c>
      <c r="G118">
        <v>0</v>
      </c>
      <c r="H118">
        <f t="shared" si="18"/>
        <v>1481.4</v>
      </c>
      <c r="I118">
        <f t="shared" si="19"/>
        <v>1481.9</v>
      </c>
      <c r="J118">
        <f t="shared" si="20"/>
        <v>1481.2</v>
      </c>
      <c r="K118">
        <f t="shared" si="21"/>
        <v>0.70000000000004547</v>
      </c>
      <c r="L118">
        <f t="shared" si="22"/>
        <v>0.39999999999986358</v>
      </c>
      <c r="M118" t="str">
        <f t="shared" si="23"/>
        <v>DOWN</v>
      </c>
      <c r="N118">
        <f t="shared" si="24"/>
        <v>0</v>
      </c>
      <c r="O118">
        <f t="shared" si="25"/>
        <v>-1.3999999999998636</v>
      </c>
      <c r="P118">
        <f t="shared" si="26"/>
        <v>1.1000000000001364</v>
      </c>
      <c r="Q118">
        <f t="shared" si="27"/>
        <v>5.4000000000000909</v>
      </c>
      <c r="R118">
        <f t="shared" si="28"/>
        <v>1481.94</v>
      </c>
      <c r="S118">
        <f t="shared" si="29"/>
        <v>0.11000000000012733</v>
      </c>
      <c r="T118">
        <f t="shared" si="30"/>
        <v>1477.854</v>
      </c>
      <c r="U118">
        <f t="shared" si="31"/>
        <v>0.10800000000017462</v>
      </c>
      <c r="V118">
        <f t="shared" si="32"/>
        <v>1478.2580000000003</v>
      </c>
      <c r="W118">
        <f t="shared" si="33"/>
        <v>-1.2999999999692591E-2</v>
      </c>
      <c r="X118">
        <f t="shared" si="34"/>
        <v>894.88250000000039</v>
      </c>
    </row>
    <row r="119" spans="1:24" x14ac:dyDescent="0.3">
      <c r="A119" t="s">
        <v>170</v>
      </c>
      <c r="B119">
        <v>1482.1</v>
      </c>
      <c r="C119">
        <v>1482.1</v>
      </c>
      <c r="D119">
        <v>1481.2</v>
      </c>
      <c r="E119">
        <v>1481.4</v>
      </c>
      <c r="F119">
        <v>15790</v>
      </c>
      <c r="G119">
        <v>0</v>
      </c>
      <c r="H119">
        <f t="shared" si="18"/>
        <v>1482</v>
      </c>
      <c r="I119">
        <f t="shared" si="19"/>
        <v>1482.1</v>
      </c>
      <c r="J119">
        <f t="shared" si="20"/>
        <v>1481.2</v>
      </c>
      <c r="K119">
        <f t="shared" si="21"/>
        <v>0.89999999999986358</v>
      </c>
      <c r="L119">
        <f t="shared" si="22"/>
        <v>9.9999999999909051E-2</v>
      </c>
      <c r="M119" t="str">
        <f t="shared" si="23"/>
        <v>DOWN</v>
      </c>
      <c r="N119">
        <f t="shared" si="24"/>
        <v>-0.59999999999990905</v>
      </c>
      <c r="O119">
        <f t="shared" si="25"/>
        <v>-1.2999999999999545</v>
      </c>
      <c r="P119">
        <f t="shared" si="26"/>
        <v>1.4000000000000909</v>
      </c>
      <c r="Q119">
        <f t="shared" si="27"/>
        <v>4.8000000000001819</v>
      </c>
      <c r="R119">
        <f t="shared" si="28"/>
        <v>1481.83</v>
      </c>
      <c r="S119">
        <f t="shared" si="29"/>
        <v>0.14000000000010004</v>
      </c>
      <c r="T119">
        <f t="shared" si="30"/>
        <v>1477.7459999999999</v>
      </c>
      <c r="U119">
        <f t="shared" si="31"/>
        <v>9.5999999999776264E-2</v>
      </c>
      <c r="V119">
        <f t="shared" si="32"/>
        <v>1478.271</v>
      </c>
      <c r="W119">
        <f t="shared" si="33"/>
        <v>-2.1000000000185537E-2</v>
      </c>
      <c r="X119">
        <f t="shared" si="34"/>
        <v>887.47550000000035</v>
      </c>
    </row>
    <row r="120" spans="1:24" x14ac:dyDescent="0.3">
      <c r="A120" t="s">
        <v>171</v>
      </c>
      <c r="B120">
        <v>1482</v>
      </c>
      <c r="C120">
        <v>1482.7</v>
      </c>
      <c r="D120">
        <v>1482</v>
      </c>
      <c r="E120">
        <v>1482</v>
      </c>
      <c r="F120">
        <v>4816</v>
      </c>
      <c r="G120">
        <v>0</v>
      </c>
      <c r="H120">
        <f t="shared" si="18"/>
        <v>1482.6</v>
      </c>
      <c r="I120">
        <f t="shared" si="19"/>
        <v>1482.7</v>
      </c>
      <c r="J120">
        <f t="shared" si="20"/>
        <v>1482</v>
      </c>
      <c r="K120">
        <f t="shared" si="21"/>
        <v>0.70000000000004547</v>
      </c>
      <c r="L120">
        <f t="shared" si="22"/>
        <v>-0.59999999999990905</v>
      </c>
      <c r="M120" t="str">
        <f t="shared" si="23"/>
        <v>DOWN</v>
      </c>
      <c r="N120">
        <f t="shared" si="24"/>
        <v>-0.59999999999990905</v>
      </c>
      <c r="O120">
        <f t="shared" si="25"/>
        <v>0.90000000000009095</v>
      </c>
      <c r="P120">
        <f t="shared" si="26"/>
        <v>1.5999999999999091</v>
      </c>
      <c r="Q120">
        <f t="shared" si="27"/>
        <v>4.7000000000000455</v>
      </c>
      <c r="R120">
        <f t="shared" si="28"/>
        <v>1481.6899999999998</v>
      </c>
      <c r="S120">
        <f t="shared" si="29"/>
        <v>0.16000000000008185</v>
      </c>
      <c r="T120">
        <f t="shared" si="30"/>
        <v>1477.65</v>
      </c>
      <c r="U120">
        <f t="shared" si="31"/>
        <v>9.4000000000050932E-2</v>
      </c>
      <c r="V120">
        <f t="shared" si="32"/>
        <v>1478.2920000000001</v>
      </c>
      <c r="W120">
        <f t="shared" si="33"/>
        <v>-1.7000000000052751E-2</v>
      </c>
      <c r="X120">
        <f t="shared" si="34"/>
        <v>880.06850000000031</v>
      </c>
    </row>
    <row r="121" spans="1:24" x14ac:dyDescent="0.3">
      <c r="A121" t="s">
        <v>172</v>
      </c>
      <c r="B121">
        <v>1482.6</v>
      </c>
      <c r="C121">
        <v>1483.9</v>
      </c>
      <c r="D121">
        <v>1482</v>
      </c>
      <c r="E121">
        <v>1482.6</v>
      </c>
      <c r="F121">
        <v>9441</v>
      </c>
      <c r="G121">
        <v>0</v>
      </c>
      <c r="H121">
        <f t="shared" si="18"/>
        <v>1482.2</v>
      </c>
      <c r="I121">
        <f t="shared" si="19"/>
        <v>1483.9</v>
      </c>
      <c r="J121">
        <f t="shared" si="20"/>
        <v>1482</v>
      </c>
      <c r="K121">
        <f t="shared" si="21"/>
        <v>1.9000000000000909</v>
      </c>
      <c r="L121">
        <f t="shared" si="22"/>
        <v>0.39999999999986358</v>
      </c>
      <c r="M121" t="str">
        <f t="shared" si="23"/>
        <v>UP</v>
      </c>
      <c r="N121">
        <f t="shared" si="24"/>
        <v>0.39999999999986358</v>
      </c>
      <c r="O121">
        <f t="shared" si="25"/>
        <v>1.2999999999999545</v>
      </c>
      <c r="P121">
        <f t="shared" si="26"/>
        <v>1.8999999999998636</v>
      </c>
      <c r="Q121">
        <f t="shared" si="27"/>
        <v>5</v>
      </c>
      <c r="R121">
        <f t="shared" si="28"/>
        <v>1481.5299999999997</v>
      </c>
      <c r="S121">
        <f t="shared" si="29"/>
        <v>0.1899999999998272</v>
      </c>
      <c r="T121">
        <f t="shared" si="30"/>
        <v>1477.556</v>
      </c>
      <c r="U121">
        <f t="shared" si="31"/>
        <v>9.9999999999681677E-2</v>
      </c>
      <c r="V121">
        <f t="shared" si="32"/>
        <v>1478.3090000000002</v>
      </c>
      <c r="W121">
        <f t="shared" si="33"/>
        <v>-6.0000000003128662E-3</v>
      </c>
      <c r="X121">
        <f t="shared" si="34"/>
        <v>872.65850000000034</v>
      </c>
    </row>
    <row r="122" spans="1:24" x14ac:dyDescent="0.3">
      <c r="A122" t="s">
        <v>173</v>
      </c>
      <c r="B122">
        <v>1482.8</v>
      </c>
      <c r="C122">
        <v>1483.4</v>
      </c>
      <c r="D122">
        <v>1482</v>
      </c>
      <c r="E122">
        <v>1482.2</v>
      </c>
      <c r="F122">
        <v>7153</v>
      </c>
      <c r="G122">
        <v>0</v>
      </c>
      <c r="H122">
        <f t="shared" si="18"/>
        <v>1482.8</v>
      </c>
      <c r="I122">
        <f t="shared" si="19"/>
        <v>1483.4</v>
      </c>
      <c r="J122">
        <f t="shared" si="20"/>
        <v>1482</v>
      </c>
      <c r="K122">
        <f t="shared" si="21"/>
        <v>1.4000000000000909</v>
      </c>
      <c r="L122">
        <f t="shared" si="22"/>
        <v>0</v>
      </c>
      <c r="M122" t="str">
        <f t="shared" si="23"/>
        <v>DOWN</v>
      </c>
      <c r="N122">
        <f t="shared" si="24"/>
        <v>-0.59999999999990905</v>
      </c>
      <c r="O122">
        <f t="shared" si="25"/>
        <v>0.29999999999995453</v>
      </c>
      <c r="P122">
        <f t="shared" si="26"/>
        <v>1.7000000000000455</v>
      </c>
      <c r="Q122">
        <f t="shared" si="27"/>
        <v>4.7999999999999545</v>
      </c>
      <c r="R122">
        <f t="shared" si="28"/>
        <v>1481.34</v>
      </c>
      <c r="S122">
        <f t="shared" si="29"/>
        <v>0.16999999999984539</v>
      </c>
      <c r="T122">
        <f t="shared" si="30"/>
        <v>1477.4560000000004</v>
      </c>
      <c r="U122">
        <f t="shared" si="31"/>
        <v>9.6000000000003638E-2</v>
      </c>
      <c r="V122">
        <f t="shared" si="32"/>
        <v>1478.3150000000005</v>
      </c>
      <c r="W122">
        <f t="shared" si="33"/>
        <v>-3.9999999999054126E-3</v>
      </c>
      <c r="X122">
        <f t="shared" si="34"/>
        <v>865.24550000000045</v>
      </c>
    </row>
    <row r="123" spans="1:24" x14ac:dyDescent="0.3">
      <c r="A123" t="s">
        <v>48</v>
      </c>
      <c r="B123">
        <v>1482.6</v>
      </c>
      <c r="C123">
        <v>1483.4</v>
      </c>
      <c r="D123">
        <v>1482.3</v>
      </c>
      <c r="E123">
        <v>1482.8</v>
      </c>
      <c r="F123">
        <v>10044</v>
      </c>
      <c r="G123">
        <v>0</v>
      </c>
      <c r="H123">
        <f t="shared" si="18"/>
        <v>1482.7</v>
      </c>
      <c r="I123">
        <f t="shared" si="19"/>
        <v>1483.4</v>
      </c>
      <c r="J123">
        <f t="shared" si="20"/>
        <v>1482.3</v>
      </c>
      <c r="K123">
        <f t="shared" si="21"/>
        <v>1.1000000000001364</v>
      </c>
      <c r="L123">
        <f t="shared" si="22"/>
        <v>-0.10000000000013642</v>
      </c>
      <c r="M123" t="str">
        <f t="shared" si="23"/>
        <v>UP</v>
      </c>
      <c r="N123">
        <f t="shared" si="24"/>
        <v>9.9999999999909051E-2</v>
      </c>
      <c r="O123">
        <f t="shared" si="25"/>
        <v>2.5</v>
      </c>
      <c r="P123">
        <f t="shared" si="26"/>
        <v>3.2000000000000455</v>
      </c>
      <c r="Q123">
        <f t="shared" si="27"/>
        <v>5.0999999999999091</v>
      </c>
      <c r="R123">
        <f t="shared" si="28"/>
        <v>1481.17</v>
      </c>
      <c r="S123">
        <f t="shared" si="29"/>
        <v>0.32000000000016371</v>
      </c>
      <c r="T123">
        <f t="shared" si="30"/>
        <v>1477.3600000000004</v>
      </c>
      <c r="U123">
        <f t="shared" si="31"/>
        <v>0.10200000000008913</v>
      </c>
      <c r="V123">
        <f t="shared" si="32"/>
        <v>1478.3190000000004</v>
      </c>
      <c r="W123">
        <f t="shared" si="33"/>
        <v>-1.4000000000123691E-2</v>
      </c>
      <c r="X123">
        <f t="shared" si="34"/>
        <v>857.83450000000039</v>
      </c>
    </row>
    <row r="124" spans="1:24" x14ac:dyDescent="0.3">
      <c r="A124" t="s">
        <v>174</v>
      </c>
      <c r="B124">
        <v>1481.1</v>
      </c>
      <c r="C124">
        <v>1483.7</v>
      </c>
      <c r="D124">
        <v>1481</v>
      </c>
      <c r="E124">
        <v>1482.7</v>
      </c>
      <c r="F124">
        <v>24593</v>
      </c>
      <c r="G124">
        <v>0</v>
      </c>
      <c r="H124">
        <f t="shared" si="18"/>
        <v>1481.1</v>
      </c>
      <c r="I124">
        <f t="shared" si="19"/>
        <v>1483.7</v>
      </c>
      <c r="J124">
        <f t="shared" si="20"/>
        <v>1481</v>
      </c>
      <c r="K124">
        <f t="shared" si="21"/>
        <v>2.7000000000000455</v>
      </c>
      <c r="L124">
        <f t="shared" si="22"/>
        <v>0</v>
      </c>
      <c r="M124" t="str">
        <f t="shared" si="23"/>
        <v>UP</v>
      </c>
      <c r="N124">
        <f t="shared" si="24"/>
        <v>1.6000000000001364</v>
      </c>
      <c r="O124">
        <f t="shared" si="25"/>
        <v>2.7000000000000455</v>
      </c>
      <c r="P124">
        <f t="shared" si="26"/>
        <v>3.2999999999999545</v>
      </c>
      <c r="Q124">
        <f t="shared" si="27"/>
        <v>5.9000000000000909</v>
      </c>
      <c r="R124">
        <f t="shared" si="28"/>
        <v>1480.85</v>
      </c>
      <c r="S124">
        <f t="shared" si="29"/>
        <v>0.32999999999992724</v>
      </c>
      <c r="T124">
        <f t="shared" si="30"/>
        <v>1477.2580000000003</v>
      </c>
      <c r="U124">
        <f t="shared" si="31"/>
        <v>0.11799999999993815</v>
      </c>
      <c r="V124">
        <f t="shared" si="32"/>
        <v>1478.3330000000005</v>
      </c>
      <c r="W124">
        <f t="shared" si="33"/>
        <v>1.1000000000194632E-2</v>
      </c>
      <c r="X124">
        <f t="shared" si="34"/>
        <v>850.42050000000029</v>
      </c>
    </row>
    <row r="125" spans="1:24" x14ac:dyDescent="0.3">
      <c r="A125" t="s">
        <v>175</v>
      </c>
      <c r="B125">
        <v>1481.2</v>
      </c>
      <c r="C125">
        <v>1482</v>
      </c>
      <c r="D125">
        <v>1480.7</v>
      </c>
      <c r="E125">
        <v>1481.1</v>
      </c>
      <c r="F125">
        <v>6682</v>
      </c>
      <c r="G125">
        <v>0</v>
      </c>
      <c r="H125">
        <f t="shared" si="18"/>
        <v>1481.3</v>
      </c>
      <c r="I125">
        <f t="shared" si="19"/>
        <v>1482</v>
      </c>
      <c r="J125">
        <f t="shared" si="20"/>
        <v>1480.7</v>
      </c>
      <c r="K125">
        <f t="shared" si="21"/>
        <v>1.2999999999999545</v>
      </c>
      <c r="L125">
        <f t="shared" si="22"/>
        <v>-9.9999999999909051E-2</v>
      </c>
      <c r="M125" t="str">
        <f t="shared" si="23"/>
        <v>DOWN</v>
      </c>
      <c r="N125">
        <f t="shared" si="24"/>
        <v>-0.20000000000004547</v>
      </c>
      <c r="O125">
        <f t="shared" si="25"/>
        <v>0.6999999999998181</v>
      </c>
      <c r="P125">
        <f t="shared" si="26"/>
        <v>3.3999999999998636</v>
      </c>
      <c r="Q125">
        <f t="shared" si="27"/>
        <v>3.6999999999998181</v>
      </c>
      <c r="R125">
        <f t="shared" si="28"/>
        <v>1480.52</v>
      </c>
      <c r="S125">
        <f t="shared" si="29"/>
        <v>0.33999999999991815</v>
      </c>
      <c r="T125">
        <f t="shared" si="30"/>
        <v>1477.1400000000003</v>
      </c>
      <c r="U125">
        <f t="shared" si="31"/>
        <v>7.4000000000523869E-2</v>
      </c>
      <c r="V125">
        <f t="shared" si="32"/>
        <v>1478.3220000000003</v>
      </c>
      <c r="W125">
        <f t="shared" si="33"/>
        <v>-9.0000000000145519E-3</v>
      </c>
      <c r="X125">
        <f t="shared" si="34"/>
        <v>843.00700000000029</v>
      </c>
    </row>
    <row r="126" spans="1:24" x14ac:dyDescent="0.3">
      <c r="A126" t="s">
        <v>176</v>
      </c>
      <c r="B126">
        <v>1481.4</v>
      </c>
      <c r="C126">
        <v>1481.9</v>
      </c>
      <c r="D126">
        <v>1480.8</v>
      </c>
      <c r="E126">
        <v>1481.3</v>
      </c>
      <c r="F126">
        <v>4138</v>
      </c>
      <c r="G126">
        <v>0</v>
      </c>
      <c r="H126">
        <f t="shared" si="18"/>
        <v>1481.9</v>
      </c>
      <c r="I126">
        <f t="shared" si="19"/>
        <v>1481.9</v>
      </c>
      <c r="J126">
        <f t="shared" si="20"/>
        <v>1480.8</v>
      </c>
      <c r="K126">
        <f t="shared" si="21"/>
        <v>1.1000000000001364</v>
      </c>
      <c r="L126">
        <f t="shared" si="22"/>
        <v>-0.5</v>
      </c>
      <c r="M126" t="str">
        <f t="shared" si="23"/>
        <v>DOWN</v>
      </c>
      <c r="N126">
        <f t="shared" si="24"/>
        <v>-0.60000000000013642</v>
      </c>
      <c r="O126">
        <f t="shared" si="25"/>
        <v>0.59999999999990905</v>
      </c>
      <c r="P126">
        <f t="shared" si="26"/>
        <v>5.2999999999999545</v>
      </c>
      <c r="Q126">
        <f t="shared" si="27"/>
        <v>3.3999999999998636</v>
      </c>
      <c r="R126">
        <f t="shared" si="28"/>
        <v>1480.18</v>
      </c>
      <c r="S126">
        <f t="shared" si="29"/>
        <v>0.52999999999997272</v>
      </c>
      <c r="T126">
        <f t="shared" si="30"/>
        <v>1477.0659999999998</v>
      </c>
      <c r="U126">
        <f t="shared" si="31"/>
        <v>6.7999999999983629E-2</v>
      </c>
      <c r="V126">
        <f t="shared" si="32"/>
        <v>1478.3310000000004</v>
      </c>
      <c r="W126">
        <f t="shared" si="33"/>
        <v>-1.5000000000100044E-2</v>
      </c>
      <c r="X126">
        <f t="shared" si="34"/>
        <v>835.60150000000021</v>
      </c>
    </row>
    <row r="127" spans="1:24" x14ac:dyDescent="0.3">
      <c r="A127" t="s">
        <v>177</v>
      </c>
      <c r="B127">
        <v>1480.2</v>
      </c>
      <c r="C127">
        <v>1481.9</v>
      </c>
      <c r="D127">
        <v>1480</v>
      </c>
      <c r="E127">
        <v>1481.9</v>
      </c>
      <c r="F127">
        <v>11312</v>
      </c>
      <c r="G127">
        <v>0</v>
      </c>
      <c r="H127">
        <f t="shared" si="18"/>
        <v>1480.3</v>
      </c>
      <c r="I127">
        <f t="shared" si="19"/>
        <v>1481.9</v>
      </c>
      <c r="J127">
        <f t="shared" si="20"/>
        <v>1480</v>
      </c>
      <c r="K127">
        <f t="shared" si="21"/>
        <v>1.9000000000000909</v>
      </c>
      <c r="L127">
        <f t="shared" si="22"/>
        <v>-9.9999999999909051E-2</v>
      </c>
      <c r="M127" t="str">
        <f t="shared" si="23"/>
        <v>UP</v>
      </c>
      <c r="N127">
        <f t="shared" si="24"/>
        <v>1.6000000000001364</v>
      </c>
      <c r="O127">
        <f t="shared" si="25"/>
        <v>1.4000000000000909</v>
      </c>
      <c r="P127">
        <f t="shared" si="26"/>
        <v>6</v>
      </c>
      <c r="Q127">
        <f t="shared" si="27"/>
        <v>3.6000000000001364</v>
      </c>
      <c r="R127">
        <f t="shared" si="28"/>
        <v>1479.65</v>
      </c>
      <c r="S127">
        <f t="shared" si="29"/>
        <v>0.60000000000013642</v>
      </c>
      <c r="T127">
        <f t="shared" si="30"/>
        <v>1476.9979999999998</v>
      </c>
      <c r="U127">
        <f t="shared" si="31"/>
        <v>7.2000000000116415E-2</v>
      </c>
      <c r="V127">
        <f t="shared" si="32"/>
        <v>1478.3460000000005</v>
      </c>
      <c r="W127">
        <f t="shared" si="33"/>
        <v>-1.7000000000052751E-2</v>
      </c>
      <c r="X127">
        <f t="shared" si="34"/>
        <v>828.19500000000028</v>
      </c>
    </row>
    <row r="128" spans="1:24" x14ac:dyDescent="0.3">
      <c r="A128" t="s">
        <v>49</v>
      </c>
      <c r="B128">
        <v>1480</v>
      </c>
      <c r="C128">
        <v>1480.9</v>
      </c>
      <c r="D128">
        <v>1480</v>
      </c>
      <c r="E128">
        <v>1480.3</v>
      </c>
      <c r="F128">
        <v>10406</v>
      </c>
      <c r="G128">
        <v>0</v>
      </c>
      <c r="H128">
        <f t="shared" si="18"/>
        <v>1480</v>
      </c>
      <c r="I128">
        <f t="shared" si="19"/>
        <v>1480.9</v>
      </c>
      <c r="J128">
        <f t="shared" si="20"/>
        <v>1480</v>
      </c>
      <c r="K128">
        <f t="shared" si="21"/>
        <v>0.90000000000009095</v>
      </c>
      <c r="L128">
        <f t="shared" si="22"/>
        <v>0</v>
      </c>
      <c r="M128" t="str">
        <f t="shared" si="23"/>
        <v>UP</v>
      </c>
      <c r="N128">
        <f t="shared" si="24"/>
        <v>0.29999999999995453</v>
      </c>
      <c r="O128">
        <f t="shared" si="25"/>
        <v>0.70000000000004547</v>
      </c>
      <c r="P128">
        <f t="shared" si="26"/>
        <v>3.5</v>
      </c>
      <c r="Q128">
        <f t="shared" si="27"/>
        <v>0.70000000000004547</v>
      </c>
      <c r="R128">
        <f t="shared" si="28"/>
        <v>1479.05</v>
      </c>
      <c r="S128">
        <f t="shared" si="29"/>
        <v>0.34999999999990905</v>
      </c>
      <c r="T128">
        <f t="shared" si="30"/>
        <v>1476.9259999999997</v>
      </c>
      <c r="U128">
        <f t="shared" si="31"/>
        <v>1.3999999999668944E-2</v>
      </c>
      <c r="V128">
        <f t="shared" si="32"/>
        <v>1478.3630000000005</v>
      </c>
      <c r="W128">
        <f t="shared" si="33"/>
        <v>-3.3999999999878128E-2</v>
      </c>
      <c r="X128">
        <f t="shared" si="34"/>
        <v>820.7855000000003</v>
      </c>
    </row>
    <row r="129" spans="1:24" x14ac:dyDescent="0.3">
      <c r="A129" t="s">
        <v>178</v>
      </c>
      <c r="B129">
        <v>1480</v>
      </c>
      <c r="C129">
        <v>1480.6</v>
      </c>
      <c r="D129">
        <v>1480</v>
      </c>
      <c r="E129">
        <v>1480</v>
      </c>
      <c r="F129">
        <v>4745</v>
      </c>
      <c r="G129">
        <v>0</v>
      </c>
      <c r="H129">
        <f t="shared" si="18"/>
        <v>1480.4</v>
      </c>
      <c r="I129">
        <f t="shared" si="19"/>
        <v>1480.6</v>
      </c>
      <c r="J129">
        <f t="shared" si="20"/>
        <v>1480</v>
      </c>
      <c r="K129">
        <f t="shared" si="21"/>
        <v>0.59999999999990905</v>
      </c>
      <c r="L129">
        <f t="shared" si="22"/>
        <v>-0.40000000000009095</v>
      </c>
      <c r="M129" t="str">
        <f t="shared" si="23"/>
        <v>DOWN</v>
      </c>
      <c r="N129">
        <f t="shared" si="24"/>
        <v>-0.40000000000009095</v>
      </c>
      <c r="O129">
        <f t="shared" si="25"/>
        <v>0.59999999999990905</v>
      </c>
      <c r="P129">
        <f t="shared" si="26"/>
        <v>4.4000000000000909</v>
      </c>
      <c r="Q129">
        <f t="shared" si="27"/>
        <v>9.9999999999909051E-2</v>
      </c>
      <c r="R129">
        <f t="shared" si="28"/>
        <v>1478.7</v>
      </c>
      <c r="S129">
        <f t="shared" si="29"/>
        <v>0.44000000000005457</v>
      </c>
      <c r="T129">
        <f t="shared" si="30"/>
        <v>1476.912</v>
      </c>
      <c r="U129">
        <f t="shared" si="31"/>
        <v>2.0000000004074536E-3</v>
      </c>
      <c r="V129">
        <f t="shared" si="32"/>
        <v>1478.3970000000004</v>
      </c>
      <c r="W129">
        <f t="shared" si="33"/>
        <v>-3.2999999999901775E-2</v>
      </c>
      <c r="X129">
        <f t="shared" si="34"/>
        <v>813.38400000000024</v>
      </c>
    </row>
    <row r="130" spans="1:24" x14ac:dyDescent="0.3">
      <c r="A130" t="s">
        <v>179</v>
      </c>
      <c r="B130">
        <v>1480.6</v>
      </c>
      <c r="C130">
        <v>1480.7</v>
      </c>
      <c r="D130">
        <v>1480</v>
      </c>
      <c r="E130">
        <v>1480.4</v>
      </c>
      <c r="F130">
        <v>7970</v>
      </c>
      <c r="G130">
        <v>0</v>
      </c>
      <c r="H130">
        <f t="shared" ref="H130:H193" si="35">E131</f>
        <v>1480.7</v>
      </c>
      <c r="I130">
        <f t="shared" ref="I130:I193" si="36">MAX(C130,H130)</f>
        <v>1480.7</v>
      </c>
      <c r="J130">
        <f t="shared" ref="J130:J193" si="37">MIN(D130,H130)</f>
        <v>1480</v>
      </c>
      <c r="K130">
        <f t="shared" ref="K130:K193" si="38">I130-J130</f>
        <v>0.70000000000004547</v>
      </c>
      <c r="L130">
        <f t="shared" ref="L130:L193" si="39">B130-E131</f>
        <v>-0.10000000000013642</v>
      </c>
      <c r="M130" t="str">
        <f t="shared" ref="M130:M193" si="40">IF(E130&gt;E131,"UP","DOWN")</f>
        <v>DOWN</v>
      </c>
      <c r="N130">
        <f t="shared" ref="N130:N193" si="41">E130-E131</f>
        <v>-0.29999999999995453</v>
      </c>
      <c r="O130">
        <f t="shared" ref="O130:O193" si="42">SUM(N130:N134)</f>
        <v>2.7000000000000455</v>
      </c>
      <c r="P130">
        <f t="shared" ref="P130:P193" si="43">SUM(N130:N139)</f>
        <v>4.5</v>
      </c>
      <c r="Q130">
        <f t="shared" ref="Q130:Q193" si="44">SUM(N130:N179)</f>
        <v>0.40000000000009095</v>
      </c>
      <c r="R130">
        <f t="shared" ref="R130:R193" si="45">SUM(E130:E139)/10</f>
        <v>1478.26</v>
      </c>
      <c r="S130">
        <f t="shared" ref="S130:S193" si="46">R130-R131</f>
        <v>0.45000000000027285</v>
      </c>
      <c r="T130">
        <f t="shared" ref="T130:T193" si="47">SUM(E130:E179)/50</f>
        <v>1476.9099999999996</v>
      </c>
      <c r="U130">
        <f t="shared" ref="U130:U193" si="48">T130-T131</f>
        <v>7.9999999998108251E-3</v>
      </c>
      <c r="V130">
        <f t="shared" ref="V130:V193" si="49">SUM(E130:E229)/100</f>
        <v>1478.4300000000003</v>
      </c>
      <c r="W130">
        <f t="shared" ref="W130:W193" si="50">V130-V131</f>
        <v>-4.5999999999821739E-2</v>
      </c>
      <c r="X130">
        <f t="shared" ref="X130:X193" si="51">SUM(E130:E329)/200</f>
        <v>805.98400000000026</v>
      </c>
    </row>
    <row r="131" spans="1:24" x14ac:dyDescent="0.3">
      <c r="A131" t="s">
        <v>180</v>
      </c>
      <c r="B131">
        <v>1480.7</v>
      </c>
      <c r="C131">
        <v>1481</v>
      </c>
      <c r="D131">
        <v>1480.5</v>
      </c>
      <c r="E131">
        <v>1480.7</v>
      </c>
      <c r="F131">
        <v>5718</v>
      </c>
      <c r="G131">
        <v>0</v>
      </c>
      <c r="H131">
        <f t="shared" si="35"/>
        <v>1480.5</v>
      </c>
      <c r="I131">
        <f t="shared" si="36"/>
        <v>1481</v>
      </c>
      <c r="J131">
        <f t="shared" si="37"/>
        <v>1480.5</v>
      </c>
      <c r="K131">
        <f t="shared" si="38"/>
        <v>0.5</v>
      </c>
      <c r="L131">
        <f t="shared" si="39"/>
        <v>0.20000000000004547</v>
      </c>
      <c r="M131" t="str">
        <f t="shared" si="40"/>
        <v>UP</v>
      </c>
      <c r="N131">
        <f t="shared" si="41"/>
        <v>0.20000000000004547</v>
      </c>
      <c r="O131">
        <f t="shared" si="42"/>
        <v>4.7000000000000455</v>
      </c>
      <c r="P131">
        <f t="shared" si="43"/>
        <v>5</v>
      </c>
      <c r="Q131">
        <f t="shared" si="44"/>
        <v>0.70000000000004547</v>
      </c>
      <c r="R131">
        <f t="shared" si="45"/>
        <v>1477.8099999999997</v>
      </c>
      <c r="S131">
        <f t="shared" si="46"/>
        <v>0.49999999999977263</v>
      </c>
      <c r="T131">
        <f t="shared" si="47"/>
        <v>1476.9019999999998</v>
      </c>
      <c r="U131">
        <f t="shared" si="48"/>
        <v>1.3999999999896318E-2</v>
      </c>
      <c r="V131">
        <f t="shared" si="49"/>
        <v>1478.4760000000001</v>
      </c>
      <c r="W131">
        <f t="shared" si="50"/>
        <v>-4.0999999999939973E-2</v>
      </c>
      <c r="X131">
        <f t="shared" si="51"/>
        <v>798.58200000000011</v>
      </c>
    </row>
    <row r="132" spans="1:24" x14ac:dyDescent="0.3">
      <c r="A132" t="s">
        <v>181</v>
      </c>
      <c r="B132">
        <v>1479.7</v>
      </c>
      <c r="C132">
        <v>1480.8</v>
      </c>
      <c r="D132">
        <v>1479.7</v>
      </c>
      <c r="E132">
        <v>1480.5</v>
      </c>
      <c r="F132">
        <v>11044</v>
      </c>
      <c r="G132">
        <v>0</v>
      </c>
      <c r="H132">
        <f t="shared" si="35"/>
        <v>1479.6</v>
      </c>
      <c r="I132">
        <f t="shared" si="36"/>
        <v>1480.8</v>
      </c>
      <c r="J132">
        <f t="shared" si="37"/>
        <v>1479.6</v>
      </c>
      <c r="K132">
        <f t="shared" si="38"/>
        <v>1.2000000000000455</v>
      </c>
      <c r="L132">
        <f t="shared" si="39"/>
        <v>0.10000000000013642</v>
      </c>
      <c r="M132" t="str">
        <f t="shared" si="40"/>
        <v>UP</v>
      </c>
      <c r="N132">
        <f t="shared" si="41"/>
        <v>0.90000000000009095</v>
      </c>
      <c r="O132">
        <f t="shared" si="42"/>
        <v>4.5999999999999091</v>
      </c>
      <c r="P132">
        <f t="shared" si="43"/>
        <v>4.4000000000000909</v>
      </c>
      <c r="Q132">
        <f t="shared" si="44"/>
        <v>1.7000000000000455</v>
      </c>
      <c r="R132">
        <f t="shared" si="45"/>
        <v>1477.31</v>
      </c>
      <c r="S132">
        <f t="shared" si="46"/>
        <v>0.4399999999998272</v>
      </c>
      <c r="T132">
        <f t="shared" si="47"/>
        <v>1476.8879999999999</v>
      </c>
      <c r="U132">
        <f t="shared" si="48"/>
        <v>3.3999999999878128E-2</v>
      </c>
      <c r="V132">
        <f t="shared" si="49"/>
        <v>1478.5170000000001</v>
      </c>
      <c r="W132">
        <f t="shared" si="50"/>
        <v>-3.1999999999925421E-2</v>
      </c>
      <c r="X132">
        <f t="shared" si="51"/>
        <v>791.17850000000021</v>
      </c>
    </row>
    <row r="133" spans="1:24" x14ac:dyDescent="0.3">
      <c r="A133" t="s">
        <v>50</v>
      </c>
      <c r="B133">
        <v>1479.5</v>
      </c>
      <c r="C133">
        <v>1479.9</v>
      </c>
      <c r="D133">
        <v>1478.9</v>
      </c>
      <c r="E133">
        <v>1479.6</v>
      </c>
      <c r="F133">
        <v>21095</v>
      </c>
      <c r="G133">
        <v>0</v>
      </c>
      <c r="H133">
        <f t="shared" si="35"/>
        <v>1479.4</v>
      </c>
      <c r="I133">
        <f t="shared" si="36"/>
        <v>1479.9</v>
      </c>
      <c r="J133">
        <f t="shared" si="37"/>
        <v>1478.9</v>
      </c>
      <c r="K133">
        <f t="shared" si="38"/>
        <v>1</v>
      </c>
      <c r="L133">
        <f t="shared" si="39"/>
        <v>9.9999999999909051E-2</v>
      </c>
      <c r="M133" t="str">
        <f t="shared" si="40"/>
        <v>UP</v>
      </c>
      <c r="N133">
        <f t="shared" si="41"/>
        <v>0.1999999999998181</v>
      </c>
      <c r="O133">
        <f t="shared" si="42"/>
        <v>2.7999999999999545</v>
      </c>
      <c r="P133">
        <f t="shared" si="43"/>
        <v>2.7999999999999545</v>
      </c>
      <c r="Q133">
        <f t="shared" si="44"/>
        <v>-0.60000000000013642</v>
      </c>
      <c r="R133">
        <f t="shared" si="45"/>
        <v>1476.8700000000001</v>
      </c>
      <c r="S133">
        <f t="shared" si="46"/>
        <v>0.28000000000020009</v>
      </c>
      <c r="T133">
        <f t="shared" si="47"/>
        <v>1476.854</v>
      </c>
      <c r="U133">
        <f t="shared" si="48"/>
        <v>-1.1999999999716238E-2</v>
      </c>
      <c r="V133">
        <f t="shared" si="49"/>
        <v>1478.549</v>
      </c>
      <c r="W133">
        <f t="shared" si="50"/>
        <v>-3.6000000000058208E-2</v>
      </c>
      <c r="X133">
        <f t="shared" si="51"/>
        <v>783.77600000000007</v>
      </c>
    </row>
    <row r="134" spans="1:24" x14ac:dyDescent="0.3">
      <c r="A134" t="s">
        <v>182</v>
      </c>
      <c r="B134">
        <v>1477.6</v>
      </c>
      <c r="C134">
        <v>1479.5</v>
      </c>
      <c r="D134">
        <v>1477.1</v>
      </c>
      <c r="E134">
        <v>1479.4</v>
      </c>
      <c r="F134">
        <v>20387</v>
      </c>
      <c r="G134">
        <v>0</v>
      </c>
      <c r="H134">
        <f t="shared" si="35"/>
        <v>1477.7</v>
      </c>
      <c r="I134">
        <f t="shared" si="36"/>
        <v>1479.5</v>
      </c>
      <c r="J134">
        <f t="shared" si="37"/>
        <v>1477.1</v>
      </c>
      <c r="K134">
        <f t="shared" si="38"/>
        <v>2.4000000000000909</v>
      </c>
      <c r="L134">
        <f t="shared" si="39"/>
        <v>-0.10000000000013642</v>
      </c>
      <c r="M134" t="str">
        <f t="shared" si="40"/>
        <v>UP</v>
      </c>
      <c r="N134">
        <f t="shared" si="41"/>
        <v>1.7000000000000455</v>
      </c>
      <c r="O134">
        <f t="shared" si="42"/>
        <v>3.8000000000001819</v>
      </c>
      <c r="P134">
        <f t="shared" si="43"/>
        <v>2.1000000000001364</v>
      </c>
      <c r="Q134">
        <f t="shared" si="44"/>
        <v>0</v>
      </c>
      <c r="R134">
        <f t="shared" si="45"/>
        <v>1476.59</v>
      </c>
      <c r="S134">
        <f t="shared" si="46"/>
        <v>0.21000000000003638</v>
      </c>
      <c r="T134">
        <f t="shared" si="47"/>
        <v>1476.8659999999998</v>
      </c>
      <c r="U134">
        <f t="shared" si="48"/>
        <v>0</v>
      </c>
      <c r="V134">
        <f t="shared" si="49"/>
        <v>1478.585</v>
      </c>
      <c r="W134">
        <f t="shared" si="50"/>
        <v>-7.3000000000092768E-2</v>
      </c>
      <c r="X134">
        <f t="shared" si="51"/>
        <v>776.37800000000004</v>
      </c>
    </row>
    <row r="135" spans="1:24" x14ac:dyDescent="0.3">
      <c r="A135" t="s">
        <v>183</v>
      </c>
      <c r="B135">
        <v>1476</v>
      </c>
      <c r="C135">
        <v>1478</v>
      </c>
      <c r="D135">
        <v>1476</v>
      </c>
      <c r="E135">
        <v>1477.7</v>
      </c>
      <c r="F135">
        <v>12885</v>
      </c>
      <c r="G135">
        <v>0</v>
      </c>
      <c r="H135">
        <f t="shared" si="35"/>
        <v>1476</v>
      </c>
      <c r="I135">
        <f t="shared" si="36"/>
        <v>1478</v>
      </c>
      <c r="J135">
        <f t="shared" si="37"/>
        <v>1476</v>
      </c>
      <c r="K135">
        <f t="shared" si="38"/>
        <v>2</v>
      </c>
      <c r="L135">
        <f t="shared" si="39"/>
        <v>0</v>
      </c>
      <c r="M135" t="str">
        <f t="shared" si="40"/>
        <v>UP</v>
      </c>
      <c r="N135">
        <f t="shared" si="41"/>
        <v>1.7000000000000455</v>
      </c>
      <c r="O135">
        <f t="shared" si="42"/>
        <v>1.7999999999999545</v>
      </c>
      <c r="P135">
        <f t="shared" si="43"/>
        <v>0.60000000000013642</v>
      </c>
      <c r="Q135">
        <f t="shared" si="44"/>
        <v>-0.70000000000004547</v>
      </c>
      <c r="R135">
        <f t="shared" si="45"/>
        <v>1476.3799999999999</v>
      </c>
      <c r="S135">
        <f t="shared" si="46"/>
        <v>5.999999999994543E-2</v>
      </c>
      <c r="T135">
        <f t="shared" si="47"/>
        <v>1476.8659999999998</v>
      </c>
      <c r="U135">
        <f t="shared" si="48"/>
        <v>-1.4000000000351065E-2</v>
      </c>
      <c r="V135">
        <f t="shared" si="49"/>
        <v>1478.6580000000001</v>
      </c>
      <c r="W135">
        <f t="shared" si="50"/>
        <v>-4.8999999999978172E-2</v>
      </c>
      <c r="X135">
        <f t="shared" si="51"/>
        <v>768.98100000000011</v>
      </c>
    </row>
    <row r="136" spans="1:24" x14ac:dyDescent="0.3">
      <c r="A136" t="s">
        <v>184</v>
      </c>
      <c r="B136">
        <v>1476.4</v>
      </c>
      <c r="C136">
        <v>1476.8</v>
      </c>
      <c r="D136">
        <v>1475.7</v>
      </c>
      <c r="E136">
        <v>1476</v>
      </c>
      <c r="F136">
        <v>6414</v>
      </c>
      <c r="G136">
        <v>0</v>
      </c>
      <c r="H136">
        <f t="shared" si="35"/>
        <v>1475.9</v>
      </c>
      <c r="I136">
        <f t="shared" si="36"/>
        <v>1476.8</v>
      </c>
      <c r="J136">
        <f t="shared" si="37"/>
        <v>1475.7</v>
      </c>
      <c r="K136">
        <f t="shared" si="38"/>
        <v>1.0999999999999091</v>
      </c>
      <c r="L136">
        <f t="shared" si="39"/>
        <v>0.5</v>
      </c>
      <c r="M136" t="str">
        <f t="shared" si="40"/>
        <v>UP</v>
      </c>
      <c r="N136">
        <f t="shared" si="41"/>
        <v>9.9999999999909051E-2</v>
      </c>
      <c r="O136">
        <f t="shared" si="42"/>
        <v>0.29999999999995453</v>
      </c>
      <c r="P136">
        <f t="shared" si="43"/>
        <v>-1.0999999999999091</v>
      </c>
      <c r="Q136">
        <f t="shared" si="44"/>
        <v>-2.9000000000000909</v>
      </c>
      <c r="R136">
        <f t="shared" si="45"/>
        <v>1476.32</v>
      </c>
      <c r="S136">
        <f t="shared" si="46"/>
        <v>-0.10999999999989996</v>
      </c>
      <c r="T136">
        <f t="shared" si="47"/>
        <v>1476.88</v>
      </c>
      <c r="U136">
        <f t="shared" si="48"/>
        <v>-5.799999999976535E-2</v>
      </c>
      <c r="V136">
        <f t="shared" si="49"/>
        <v>1478.7070000000001</v>
      </c>
      <c r="W136">
        <f t="shared" si="50"/>
        <v>-5.7000000000016371E-2</v>
      </c>
      <c r="X136">
        <f t="shared" si="51"/>
        <v>761.59249999999997</v>
      </c>
    </row>
    <row r="137" spans="1:24" x14ac:dyDescent="0.3">
      <c r="A137" t="s">
        <v>185</v>
      </c>
      <c r="B137">
        <v>1476.1</v>
      </c>
      <c r="C137">
        <v>1477</v>
      </c>
      <c r="D137">
        <v>1475.7</v>
      </c>
      <c r="E137">
        <v>1475.9</v>
      </c>
      <c r="F137">
        <v>6563</v>
      </c>
      <c r="G137">
        <v>0</v>
      </c>
      <c r="H137">
        <f t="shared" si="35"/>
        <v>1476.8</v>
      </c>
      <c r="I137">
        <f t="shared" si="36"/>
        <v>1477</v>
      </c>
      <c r="J137">
        <f t="shared" si="37"/>
        <v>1475.7</v>
      </c>
      <c r="K137">
        <f t="shared" si="38"/>
        <v>1.2999999999999545</v>
      </c>
      <c r="L137">
        <f t="shared" si="39"/>
        <v>-0.70000000000004547</v>
      </c>
      <c r="M137" t="str">
        <f t="shared" si="40"/>
        <v>DOWN</v>
      </c>
      <c r="N137">
        <f t="shared" si="41"/>
        <v>-0.89999999999986358</v>
      </c>
      <c r="O137">
        <f t="shared" si="42"/>
        <v>-0.1999999999998181</v>
      </c>
      <c r="P137">
        <f t="shared" si="43"/>
        <v>-1.5999999999999091</v>
      </c>
      <c r="Q137">
        <f t="shared" si="44"/>
        <v>-2.1999999999998181</v>
      </c>
      <c r="R137">
        <f t="shared" si="45"/>
        <v>1476.4299999999998</v>
      </c>
      <c r="S137">
        <f t="shared" si="46"/>
        <v>-0.15999999999985448</v>
      </c>
      <c r="T137">
        <f t="shared" si="47"/>
        <v>1476.9379999999999</v>
      </c>
      <c r="U137">
        <f t="shared" si="48"/>
        <v>-4.3999999999869033E-2</v>
      </c>
      <c r="V137">
        <f t="shared" si="49"/>
        <v>1478.7640000000001</v>
      </c>
      <c r="W137">
        <f t="shared" si="50"/>
        <v>-6.4000000000078217E-2</v>
      </c>
      <c r="X137">
        <f t="shared" si="51"/>
        <v>754.21249999999998</v>
      </c>
    </row>
    <row r="138" spans="1:24" x14ac:dyDescent="0.3">
      <c r="A138" t="s">
        <v>51</v>
      </c>
      <c r="B138">
        <v>1475.5</v>
      </c>
      <c r="C138">
        <v>1476.8</v>
      </c>
      <c r="D138">
        <v>1475.4</v>
      </c>
      <c r="E138">
        <v>1476.8</v>
      </c>
      <c r="F138">
        <v>5613</v>
      </c>
      <c r="G138">
        <v>0</v>
      </c>
      <c r="H138">
        <f t="shared" si="35"/>
        <v>1475.6</v>
      </c>
      <c r="I138">
        <f t="shared" si="36"/>
        <v>1476.8</v>
      </c>
      <c r="J138">
        <f t="shared" si="37"/>
        <v>1475.4</v>
      </c>
      <c r="K138">
        <f t="shared" si="38"/>
        <v>1.3999999999998636</v>
      </c>
      <c r="L138">
        <f t="shared" si="39"/>
        <v>-9.9999999999909051E-2</v>
      </c>
      <c r="M138" t="str">
        <f t="shared" si="40"/>
        <v>UP</v>
      </c>
      <c r="N138">
        <f t="shared" si="41"/>
        <v>1.2000000000000455</v>
      </c>
      <c r="O138">
        <f t="shared" si="42"/>
        <v>0</v>
      </c>
      <c r="P138">
        <f t="shared" si="43"/>
        <v>-0.70000000000004547</v>
      </c>
      <c r="Q138">
        <f t="shared" si="44"/>
        <v>-2.7999999999999545</v>
      </c>
      <c r="R138">
        <f t="shared" si="45"/>
        <v>1476.5899999999997</v>
      </c>
      <c r="S138">
        <f t="shared" si="46"/>
        <v>-7.0000000000391083E-2</v>
      </c>
      <c r="T138">
        <f t="shared" si="47"/>
        <v>1476.9819999999997</v>
      </c>
      <c r="U138">
        <f t="shared" si="48"/>
        <v>-5.6000000000494765E-2</v>
      </c>
      <c r="V138">
        <f t="shared" si="49"/>
        <v>1478.8280000000002</v>
      </c>
      <c r="W138">
        <f t="shared" si="50"/>
        <v>-6.9999999999936335E-2</v>
      </c>
      <c r="X138">
        <f t="shared" si="51"/>
        <v>746.83300000000008</v>
      </c>
    </row>
    <row r="139" spans="1:24" x14ac:dyDescent="0.3">
      <c r="A139" t="s">
        <v>186</v>
      </c>
      <c r="B139">
        <v>1476.3</v>
      </c>
      <c r="C139">
        <v>1476.7</v>
      </c>
      <c r="D139">
        <v>1475.4</v>
      </c>
      <c r="E139">
        <v>1475.6</v>
      </c>
      <c r="F139">
        <v>5291</v>
      </c>
      <c r="G139">
        <v>0</v>
      </c>
      <c r="H139">
        <f t="shared" si="35"/>
        <v>1475.9</v>
      </c>
      <c r="I139">
        <f t="shared" si="36"/>
        <v>1476.7</v>
      </c>
      <c r="J139">
        <f t="shared" si="37"/>
        <v>1475.4</v>
      </c>
      <c r="K139">
        <f t="shared" si="38"/>
        <v>1.2999999999999545</v>
      </c>
      <c r="L139">
        <f t="shared" si="39"/>
        <v>0.39999999999986358</v>
      </c>
      <c r="M139" t="str">
        <f t="shared" si="40"/>
        <v>DOWN</v>
      </c>
      <c r="N139">
        <f t="shared" si="41"/>
        <v>-0.3000000000001819</v>
      </c>
      <c r="O139">
        <f t="shared" si="42"/>
        <v>-1.7000000000000455</v>
      </c>
      <c r="P139">
        <f t="shared" si="43"/>
        <v>-1.4000000000000909</v>
      </c>
      <c r="Q139">
        <f t="shared" si="44"/>
        <v>-3.8000000000001819</v>
      </c>
      <c r="R139">
        <f t="shared" si="45"/>
        <v>1476.66</v>
      </c>
      <c r="S139">
        <f t="shared" si="46"/>
        <v>-0.14000000000010004</v>
      </c>
      <c r="T139">
        <f t="shared" si="47"/>
        <v>1477.0380000000002</v>
      </c>
      <c r="U139">
        <f t="shared" si="48"/>
        <v>-7.6000000000021828E-2</v>
      </c>
      <c r="V139">
        <f t="shared" si="49"/>
        <v>1478.8980000000001</v>
      </c>
      <c r="W139">
        <f t="shared" si="50"/>
        <v>14.755999999999631</v>
      </c>
      <c r="X139">
        <f t="shared" si="51"/>
        <v>739.44900000000007</v>
      </c>
    </row>
    <row r="140" spans="1:24" x14ac:dyDescent="0.3">
      <c r="A140" t="s">
        <v>187</v>
      </c>
      <c r="B140">
        <v>1475.7</v>
      </c>
      <c r="C140">
        <v>1476.3</v>
      </c>
      <c r="D140">
        <v>1475</v>
      </c>
      <c r="E140">
        <v>1475.9</v>
      </c>
      <c r="F140">
        <v>7612</v>
      </c>
      <c r="G140">
        <v>0</v>
      </c>
      <c r="H140">
        <f t="shared" si="35"/>
        <v>1475.7</v>
      </c>
      <c r="I140">
        <f t="shared" si="36"/>
        <v>1476.3</v>
      </c>
      <c r="J140">
        <f t="shared" si="37"/>
        <v>1475</v>
      </c>
      <c r="K140">
        <f t="shared" si="38"/>
        <v>1.2999999999999545</v>
      </c>
      <c r="L140">
        <f t="shared" si="39"/>
        <v>0</v>
      </c>
      <c r="M140" t="str">
        <f t="shared" si="40"/>
        <v>UP</v>
      </c>
      <c r="N140">
        <f t="shared" si="41"/>
        <v>0.20000000000004547</v>
      </c>
      <c r="O140">
        <f t="shared" si="42"/>
        <v>-1.1999999999998181</v>
      </c>
      <c r="P140">
        <f t="shared" si="43"/>
        <v>0.10000000000013642</v>
      </c>
      <c r="Q140">
        <f t="shared" si="44"/>
        <v>-4.5999999999999091</v>
      </c>
      <c r="R140">
        <f t="shared" si="45"/>
        <v>1476.8000000000002</v>
      </c>
      <c r="S140">
        <f t="shared" si="46"/>
        <v>1.0000000000218279E-2</v>
      </c>
      <c r="T140">
        <f t="shared" si="47"/>
        <v>1477.1140000000003</v>
      </c>
      <c r="U140">
        <f t="shared" si="48"/>
        <v>-9.1999999999870852E-2</v>
      </c>
      <c r="V140">
        <f t="shared" si="49"/>
        <v>1464.1420000000005</v>
      </c>
      <c r="W140">
        <f t="shared" si="50"/>
        <v>14.759000000000242</v>
      </c>
      <c r="X140">
        <f t="shared" si="51"/>
        <v>732.07100000000025</v>
      </c>
    </row>
    <row r="141" spans="1:24" x14ac:dyDescent="0.3">
      <c r="A141" t="s">
        <v>188</v>
      </c>
      <c r="B141">
        <v>1476.5</v>
      </c>
      <c r="C141">
        <v>1476.9</v>
      </c>
      <c r="D141">
        <v>1475.4</v>
      </c>
      <c r="E141">
        <v>1475.7</v>
      </c>
      <c r="F141">
        <v>7443</v>
      </c>
      <c r="G141">
        <v>0</v>
      </c>
      <c r="H141">
        <f t="shared" si="35"/>
        <v>1476.1</v>
      </c>
      <c r="I141">
        <f t="shared" si="36"/>
        <v>1476.9</v>
      </c>
      <c r="J141">
        <f t="shared" si="37"/>
        <v>1475.4</v>
      </c>
      <c r="K141">
        <f t="shared" si="38"/>
        <v>1.5</v>
      </c>
      <c r="L141">
        <f t="shared" si="39"/>
        <v>0.40000000000009095</v>
      </c>
      <c r="M141" t="str">
        <f t="shared" si="40"/>
        <v>DOWN</v>
      </c>
      <c r="N141">
        <f t="shared" si="41"/>
        <v>-0.39999999999986358</v>
      </c>
      <c r="O141">
        <f t="shared" si="42"/>
        <v>-1.3999999999998636</v>
      </c>
      <c r="P141">
        <f t="shared" si="43"/>
        <v>0.40000000000009095</v>
      </c>
      <c r="Q141">
        <f t="shared" si="44"/>
        <v>-5.5</v>
      </c>
      <c r="R141">
        <f t="shared" si="45"/>
        <v>1476.79</v>
      </c>
      <c r="S141">
        <f t="shared" si="46"/>
        <v>4.0000000000190994E-2</v>
      </c>
      <c r="T141">
        <f t="shared" si="47"/>
        <v>1477.2060000000001</v>
      </c>
      <c r="U141">
        <f t="shared" si="48"/>
        <v>-0.10999999999989996</v>
      </c>
      <c r="V141">
        <f t="shared" si="49"/>
        <v>1449.3830000000003</v>
      </c>
      <c r="W141">
        <f t="shared" si="50"/>
        <v>14.756999999999834</v>
      </c>
      <c r="X141">
        <f t="shared" si="51"/>
        <v>724.69150000000013</v>
      </c>
    </row>
    <row r="142" spans="1:24" x14ac:dyDescent="0.3">
      <c r="A142" t="s">
        <v>189</v>
      </c>
      <c r="B142">
        <v>1476.4</v>
      </c>
      <c r="C142">
        <v>1477</v>
      </c>
      <c r="D142">
        <v>1476</v>
      </c>
      <c r="E142">
        <v>1476.1</v>
      </c>
      <c r="F142">
        <v>4256</v>
      </c>
      <c r="G142">
        <v>0</v>
      </c>
      <c r="H142">
        <f t="shared" si="35"/>
        <v>1476.8</v>
      </c>
      <c r="I142">
        <f t="shared" si="36"/>
        <v>1477</v>
      </c>
      <c r="J142">
        <f t="shared" si="37"/>
        <v>1476</v>
      </c>
      <c r="K142">
        <f t="shared" si="38"/>
        <v>1</v>
      </c>
      <c r="L142">
        <f t="shared" si="39"/>
        <v>-0.39999999999986358</v>
      </c>
      <c r="M142" t="str">
        <f t="shared" si="40"/>
        <v>DOWN</v>
      </c>
      <c r="N142">
        <f t="shared" si="41"/>
        <v>-0.70000000000004547</v>
      </c>
      <c r="O142">
        <f t="shared" si="42"/>
        <v>-1.4000000000000909</v>
      </c>
      <c r="P142">
        <f t="shared" si="43"/>
        <v>-0.20000000000004547</v>
      </c>
      <c r="Q142">
        <f t="shared" si="44"/>
        <v>-4.9000000000000909</v>
      </c>
      <c r="R142">
        <f t="shared" si="45"/>
        <v>1476.7499999999998</v>
      </c>
      <c r="S142">
        <f t="shared" si="46"/>
        <v>-1.999999999998181E-2</v>
      </c>
      <c r="T142">
        <f t="shared" si="47"/>
        <v>1477.316</v>
      </c>
      <c r="U142">
        <f t="shared" si="48"/>
        <v>-9.8000000000183718E-2</v>
      </c>
      <c r="V142">
        <f t="shared" si="49"/>
        <v>1434.6260000000004</v>
      </c>
      <c r="W142">
        <f t="shared" si="50"/>
        <v>14.76099999999974</v>
      </c>
      <c r="X142">
        <f t="shared" si="51"/>
        <v>717.31300000000022</v>
      </c>
    </row>
    <row r="143" spans="1:24" x14ac:dyDescent="0.3">
      <c r="A143" t="s">
        <v>52</v>
      </c>
      <c r="B143">
        <v>1477.6</v>
      </c>
      <c r="C143">
        <v>1477.6</v>
      </c>
      <c r="D143">
        <v>1476.4</v>
      </c>
      <c r="E143">
        <v>1476.8</v>
      </c>
      <c r="F143">
        <v>7917</v>
      </c>
      <c r="G143">
        <v>0</v>
      </c>
      <c r="H143">
        <f t="shared" si="35"/>
        <v>1477.3</v>
      </c>
      <c r="I143">
        <f t="shared" si="36"/>
        <v>1477.6</v>
      </c>
      <c r="J143">
        <f t="shared" si="37"/>
        <v>1476.4</v>
      </c>
      <c r="K143">
        <f t="shared" si="38"/>
        <v>1.1999999999998181</v>
      </c>
      <c r="L143">
        <f t="shared" si="39"/>
        <v>0.29999999999995453</v>
      </c>
      <c r="M143" t="str">
        <f t="shared" si="40"/>
        <v>DOWN</v>
      </c>
      <c r="N143">
        <f t="shared" si="41"/>
        <v>-0.5</v>
      </c>
      <c r="O143">
        <f t="shared" si="42"/>
        <v>-0.70000000000004547</v>
      </c>
      <c r="P143">
        <f t="shared" si="43"/>
        <v>1.5</v>
      </c>
      <c r="Q143">
        <f t="shared" si="44"/>
        <v>-3.4000000000000909</v>
      </c>
      <c r="R143">
        <f t="shared" si="45"/>
        <v>1476.7699999999998</v>
      </c>
      <c r="S143">
        <f t="shared" si="46"/>
        <v>0.15000000000009095</v>
      </c>
      <c r="T143">
        <f t="shared" si="47"/>
        <v>1477.4140000000002</v>
      </c>
      <c r="U143">
        <f t="shared" si="48"/>
        <v>-6.7999999999528882E-2</v>
      </c>
      <c r="V143">
        <f t="shared" si="49"/>
        <v>1419.8650000000007</v>
      </c>
      <c r="W143">
        <f t="shared" si="50"/>
        <v>14.768000000000256</v>
      </c>
      <c r="X143">
        <f t="shared" si="51"/>
        <v>709.93250000000035</v>
      </c>
    </row>
    <row r="144" spans="1:24" x14ac:dyDescent="0.3">
      <c r="A144" t="s">
        <v>190</v>
      </c>
      <c r="B144">
        <v>1477.1</v>
      </c>
      <c r="C144">
        <v>1477.7</v>
      </c>
      <c r="D144">
        <v>1476.9</v>
      </c>
      <c r="E144">
        <v>1477.3</v>
      </c>
      <c r="F144">
        <v>7626</v>
      </c>
      <c r="G144">
        <v>0</v>
      </c>
      <c r="H144">
        <f t="shared" si="35"/>
        <v>1477.1</v>
      </c>
      <c r="I144">
        <f t="shared" si="36"/>
        <v>1477.7</v>
      </c>
      <c r="J144">
        <f t="shared" si="37"/>
        <v>1476.9</v>
      </c>
      <c r="K144">
        <f t="shared" si="38"/>
        <v>0.79999999999995453</v>
      </c>
      <c r="L144">
        <f t="shared" si="39"/>
        <v>0</v>
      </c>
      <c r="M144" t="str">
        <f t="shared" si="40"/>
        <v>UP</v>
      </c>
      <c r="N144">
        <f t="shared" si="41"/>
        <v>0.20000000000004547</v>
      </c>
      <c r="O144">
        <f t="shared" si="42"/>
        <v>0.29999999999995453</v>
      </c>
      <c r="P144">
        <f t="shared" si="43"/>
        <v>1.7000000000000455</v>
      </c>
      <c r="Q144">
        <f t="shared" si="44"/>
        <v>-3.2999999999999545</v>
      </c>
      <c r="R144">
        <f t="shared" si="45"/>
        <v>1476.6199999999997</v>
      </c>
      <c r="S144">
        <f t="shared" si="46"/>
        <v>0.16999999999984539</v>
      </c>
      <c r="T144">
        <f t="shared" si="47"/>
        <v>1477.4819999999997</v>
      </c>
      <c r="U144">
        <f t="shared" si="48"/>
        <v>-6.600000000048567E-2</v>
      </c>
      <c r="V144">
        <f t="shared" si="49"/>
        <v>1405.0970000000004</v>
      </c>
      <c r="W144">
        <f t="shared" si="50"/>
        <v>14.773000000000138</v>
      </c>
      <c r="X144">
        <f t="shared" si="51"/>
        <v>702.54850000000022</v>
      </c>
    </row>
    <row r="145" spans="1:24" x14ac:dyDescent="0.3">
      <c r="A145" t="s">
        <v>191</v>
      </c>
      <c r="B145">
        <v>1476.8</v>
      </c>
      <c r="C145">
        <v>1477.5</v>
      </c>
      <c r="D145">
        <v>1476.4</v>
      </c>
      <c r="E145">
        <v>1477.1</v>
      </c>
      <c r="F145">
        <v>5106</v>
      </c>
      <c r="G145">
        <v>0</v>
      </c>
      <c r="H145">
        <f t="shared" si="35"/>
        <v>1477.1</v>
      </c>
      <c r="I145">
        <f t="shared" si="36"/>
        <v>1477.5</v>
      </c>
      <c r="J145">
        <f t="shared" si="37"/>
        <v>1476.4</v>
      </c>
      <c r="K145">
        <f t="shared" si="38"/>
        <v>1.0999999999999091</v>
      </c>
      <c r="L145">
        <f t="shared" si="39"/>
        <v>-0.29999999999995453</v>
      </c>
      <c r="M145" t="str">
        <f t="shared" si="40"/>
        <v>DOWN</v>
      </c>
      <c r="N145">
        <f t="shared" si="41"/>
        <v>0</v>
      </c>
      <c r="O145">
        <f t="shared" si="42"/>
        <v>1.2999999999999545</v>
      </c>
      <c r="P145">
        <f t="shared" si="43"/>
        <v>9.9999999999909051E-2</v>
      </c>
      <c r="Q145">
        <f t="shared" si="44"/>
        <v>-2.2000000000000455</v>
      </c>
      <c r="R145">
        <f t="shared" si="45"/>
        <v>1476.4499999999998</v>
      </c>
      <c r="S145">
        <f t="shared" si="46"/>
        <v>9.9999999997635314E-3</v>
      </c>
      <c r="T145">
        <f t="shared" si="47"/>
        <v>1477.5480000000002</v>
      </c>
      <c r="U145">
        <f t="shared" si="48"/>
        <v>-4.4000000000096406E-2</v>
      </c>
      <c r="V145">
        <f t="shared" si="49"/>
        <v>1390.3240000000003</v>
      </c>
      <c r="W145">
        <f t="shared" si="50"/>
        <v>14.771000000000186</v>
      </c>
      <c r="X145">
        <f t="shared" si="51"/>
        <v>695.16200000000015</v>
      </c>
    </row>
    <row r="146" spans="1:24" x14ac:dyDescent="0.3">
      <c r="A146" t="s">
        <v>192</v>
      </c>
      <c r="B146">
        <v>1477.4</v>
      </c>
      <c r="C146">
        <v>1478</v>
      </c>
      <c r="D146">
        <v>1476.7</v>
      </c>
      <c r="E146">
        <v>1477.1</v>
      </c>
      <c r="F146">
        <v>5519</v>
      </c>
      <c r="G146">
        <v>0</v>
      </c>
      <c r="H146">
        <f t="shared" si="35"/>
        <v>1477.5</v>
      </c>
      <c r="I146">
        <f t="shared" si="36"/>
        <v>1478</v>
      </c>
      <c r="J146">
        <f t="shared" si="37"/>
        <v>1476.7</v>
      </c>
      <c r="K146">
        <f t="shared" si="38"/>
        <v>1.2999999999999545</v>
      </c>
      <c r="L146">
        <f t="shared" si="39"/>
        <v>-9.9999999999909051E-2</v>
      </c>
      <c r="M146" t="str">
        <f t="shared" si="40"/>
        <v>DOWN</v>
      </c>
      <c r="N146">
        <f t="shared" si="41"/>
        <v>-0.40000000000009095</v>
      </c>
      <c r="O146">
        <f t="shared" si="42"/>
        <v>1.7999999999999545</v>
      </c>
      <c r="P146">
        <f t="shared" si="43"/>
        <v>1.1999999999998181</v>
      </c>
      <c r="Q146">
        <f t="shared" si="44"/>
        <v>-2.4000000000000909</v>
      </c>
      <c r="R146">
        <f t="shared" si="45"/>
        <v>1476.44</v>
      </c>
      <c r="S146">
        <f t="shared" si="46"/>
        <v>0.12000000000011823</v>
      </c>
      <c r="T146">
        <f t="shared" si="47"/>
        <v>1477.5920000000003</v>
      </c>
      <c r="U146">
        <f t="shared" si="48"/>
        <v>-4.8000000000001819E-2</v>
      </c>
      <c r="V146">
        <f t="shared" si="49"/>
        <v>1375.5530000000001</v>
      </c>
      <c r="W146">
        <f t="shared" si="50"/>
        <v>14.770999999999958</v>
      </c>
      <c r="X146">
        <f t="shared" si="51"/>
        <v>687.77650000000006</v>
      </c>
    </row>
    <row r="147" spans="1:24" x14ac:dyDescent="0.3">
      <c r="A147" t="s">
        <v>193</v>
      </c>
      <c r="B147">
        <v>1477.9</v>
      </c>
      <c r="C147">
        <v>1478.1</v>
      </c>
      <c r="D147">
        <v>1476.7</v>
      </c>
      <c r="E147">
        <v>1477.5</v>
      </c>
      <c r="F147">
        <v>5264</v>
      </c>
      <c r="G147">
        <v>0</v>
      </c>
      <c r="H147">
        <f t="shared" si="35"/>
        <v>1477.5</v>
      </c>
      <c r="I147">
        <f t="shared" si="36"/>
        <v>1478.1</v>
      </c>
      <c r="J147">
        <f t="shared" si="37"/>
        <v>1476.7</v>
      </c>
      <c r="K147">
        <f t="shared" si="38"/>
        <v>1.3999999999998636</v>
      </c>
      <c r="L147">
        <f t="shared" si="39"/>
        <v>0.40000000000009095</v>
      </c>
      <c r="M147" t="str">
        <f t="shared" si="40"/>
        <v>DOWN</v>
      </c>
      <c r="N147">
        <f t="shared" si="41"/>
        <v>0</v>
      </c>
      <c r="O147">
        <f t="shared" si="42"/>
        <v>1.2000000000000455</v>
      </c>
      <c r="P147">
        <f t="shared" si="43"/>
        <v>2.2999999999999545</v>
      </c>
      <c r="Q147">
        <f t="shared" si="44"/>
        <v>-1</v>
      </c>
      <c r="R147">
        <f t="shared" si="45"/>
        <v>1476.32</v>
      </c>
      <c r="S147">
        <f t="shared" si="46"/>
        <v>0.22999999999979082</v>
      </c>
      <c r="T147">
        <f t="shared" si="47"/>
        <v>1477.6400000000003</v>
      </c>
      <c r="U147">
        <f t="shared" si="48"/>
        <v>-1.999999999998181E-2</v>
      </c>
      <c r="V147">
        <f t="shared" si="49"/>
        <v>1360.7820000000002</v>
      </c>
      <c r="W147">
        <f t="shared" si="50"/>
        <v>14.775000000000091</v>
      </c>
      <c r="X147">
        <f t="shared" si="51"/>
        <v>680.39100000000008</v>
      </c>
    </row>
    <row r="148" spans="1:24" x14ac:dyDescent="0.3">
      <c r="A148" t="s">
        <v>53</v>
      </c>
      <c r="B148">
        <v>1476.7</v>
      </c>
      <c r="C148">
        <v>1478.2</v>
      </c>
      <c r="D148">
        <v>1476.7</v>
      </c>
      <c r="E148">
        <v>1477.5</v>
      </c>
      <c r="F148">
        <v>9379</v>
      </c>
      <c r="G148">
        <v>0</v>
      </c>
      <c r="H148">
        <f t="shared" si="35"/>
        <v>1477</v>
      </c>
      <c r="I148">
        <f t="shared" si="36"/>
        <v>1478.2</v>
      </c>
      <c r="J148">
        <f t="shared" si="37"/>
        <v>1476.7</v>
      </c>
      <c r="K148">
        <f t="shared" si="38"/>
        <v>1.5</v>
      </c>
      <c r="L148">
        <f t="shared" si="39"/>
        <v>-0.29999999999995453</v>
      </c>
      <c r="M148" t="str">
        <f t="shared" si="40"/>
        <v>UP</v>
      </c>
      <c r="N148">
        <f t="shared" si="41"/>
        <v>0.5</v>
      </c>
      <c r="O148">
        <f t="shared" si="42"/>
        <v>2.2000000000000455</v>
      </c>
      <c r="P148">
        <f t="shared" si="43"/>
        <v>1.5</v>
      </c>
      <c r="Q148">
        <f t="shared" si="44"/>
        <v>-1.4000000000000909</v>
      </c>
      <c r="R148">
        <f t="shared" si="45"/>
        <v>1476.0900000000001</v>
      </c>
      <c r="S148">
        <f t="shared" si="46"/>
        <v>0.15000000000009095</v>
      </c>
      <c r="T148">
        <f t="shared" si="47"/>
        <v>1477.6600000000003</v>
      </c>
      <c r="U148">
        <f t="shared" si="48"/>
        <v>-2.7999999999792635E-2</v>
      </c>
      <c r="V148">
        <f t="shared" si="49"/>
        <v>1346.0070000000001</v>
      </c>
      <c r="W148">
        <f t="shared" si="50"/>
        <v>14.774999999999864</v>
      </c>
      <c r="X148">
        <f t="shared" si="51"/>
        <v>673.00350000000003</v>
      </c>
    </row>
    <row r="149" spans="1:24" x14ac:dyDescent="0.3">
      <c r="A149" t="s">
        <v>194</v>
      </c>
      <c r="B149">
        <v>1475.8</v>
      </c>
      <c r="C149">
        <v>1477</v>
      </c>
      <c r="D149">
        <v>1475.8</v>
      </c>
      <c r="E149">
        <v>1477</v>
      </c>
      <c r="F149">
        <v>4367</v>
      </c>
      <c r="G149">
        <v>0</v>
      </c>
      <c r="H149">
        <f t="shared" si="35"/>
        <v>1475.8</v>
      </c>
      <c r="I149">
        <f t="shared" si="36"/>
        <v>1477</v>
      </c>
      <c r="J149">
        <f t="shared" si="37"/>
        <v>1475.8</v>
      </c>
      <c r="K149">
        <f t="shared" si="38"/>
        <v>1.2000000000000455</v>
      </c>
      <c r="L149">
        <f t="shared" si="39"/>
        <v>0</v>
      </c>
      <c r="M149" t="str">
        <f t="shared" si="40"/>
        <v>UP</v>
      </c>
      <c r="N149">
        <f t="shared" si="41"/>
        <v>1.2000000000000455</v>
      </c>
      <c r="O149">
        <f t="shared" si="42"/>
        <v>1.4000000000000909</v>
      </c>
      <c r="P149">
        <f t="shared" si="43"/>
        <v>1.4000000000000909</v>
      </c>
      <c r="Q149">
        <f t="shared" si="44"/>
        <v>-1.0999999999999091</v>
      </c>
      <c r="R149">
        <f t="shared" si="45"/>
        <v>1475.94</v>
      </c>
      <c r="S149">
        <f t="shared" si="46"/>
        <v>0.14000000000010004</v>
      </c>
      <c r="T149">
        <f t="shared" si="47"/>
        <v>1477.6880000000001</v>
      </c>
      <c r="U149">
        <f t="shared" si="48"/>
        <v>-2.1999999999934516E-2</v>
      </c>
      <c r="V149">
        <f t="shared" si="49"/>
        <v>1331.2320000000002</v>
      </c>
      <c r="W149">
        <f t="shared" si="50"/>
        <v>14.769999999999982</v>
      </c>
      <c r="X149">
        <f t="shared" si="51"/>
        <v>665.6160000000001</v>
      </c>
    </row>
    <row r="150" spans="1:24" x14ac:dyDescent="0.3">
      <c r="A150" t="s">
        <v>195</v>
      </c>
      <c r="B150">
        <v>1475.7</v>
      </c>
      <c r="C150">
        <v>1476.5</v>
      </c>
      <c r="D150">
        <v>1475.3</v>
      </c>
      <c r="E150">
        <v>1475.8</v>
      </c>
      <c r="F150">
        <v>4141</v>
      </c>
      <c r="G150">
        <v>0</v>
      </c>
      <c r="H150">
        <f t="shared" si="35"/>
        <v>1475.3</v>
      </c>
      <c r="I150">
        <f t="shared" si="36"/>
        <v>1476.5</v>
      </c>
      <c r="J150">
        <f t="shared" si="37"/>
        <v>1475.3</v>
      </c>
      <c r="K150">
        <f t="shared" si="38"/>
        <v>1.2000000000000455</v>
      </c>
      <c r="L150">
        <f t="shared" si="39"/>
        <v>0.40000000000009095</v>
      </c>
      <c r="M150" t="str">
        <f t="shared" si="40"/>
        <v>UP</v>
      </c>
      <c r="N150">
        <f t="shared" si="41"/>
        <v>0.5</v>
      </c>
      <c r="O150">
        <f t="shared" si="42"/>
        <v>-1.2000000000000455</v>
      </c>
      <c r="P150">
        <f t="shared" si="43"/>
        <v>0.59999999999990905</v>
      </c>
      <c r="Q150">
        <f t="shared" si="44"/>
        <v>-2.4000000000000909</v>
      </c>
      <c r="R150">
        <f t="shared" si="45"/>
        <v>1475.8</v>
      </c>
      <c r="S150">
        <f t="shared" si="46"/>
        <v>5.9999999999718057E-2</v>
      </c>
      <c r="T150">
        <f t="shared" si="47"/>
        <v>1477.71</v>
      </c>
      <c r="U150">
        <f t="shared" si="48"/>
        <v>-4.7999999999774445E-2</v>
      </c>
      <c r="V150">
        <f t="shared" si="49"/>
        <v>1316.4620000000002</v>
      </c>
      <c r="W150">
        <f t="shared" si="50"/>
        <v>14.758000000000038</v>
      </c>
      <c r="X150">
        <f t="shared" si="51"/>
        <v>658.23100000000011</v>
      </c>
    </row>
    <row r="151" spans="1:24" x14ac:dyDescent="0.3">
      <c r="A151" t="s">
        <v>196</v>
      </c>
      <c r="B151">
        <v>1475.8</v>
      </c>
      <c r="C151">
        <v>1476.2</v>
      </c>
      <c r="D151">
        <v>1475.1</v>
      </c>
      <c r="E151">
        <v>1475.3</v>
      </c>
      <c r="F151">
        <v>5963</v>
      </c>
      <c r="G151">
        <v>0</v>
      </c>
      <c r="H151">
        <f t="shared" si="35"/>
        <v>1476.3</v>
      </c>
      <c r="I151">
        <f t="shared" si="36"/>
        <v>1476.3</v>
      </c>
      <c r="J151">
        <f t="shared" si="37"/>
        <v>1475.1</v>
      </c>
      <c r="K151">
        <f t="shared" si="38"/>
        <v>1.2000000000000455</v>
      </c>
      <c r="L151">
        <f t="shared" si="39"/>
        <v>-0.5</v>
      </c>
      <c r="M151" t="str">
        <f t="shared" si="40"/>
        <v>DOWN</v>
      </c>
      <c r="N151">
        <f t="shared" si="41"/>
        <v>-1</v>
      </c>
      <c r="O151">
        <f t="shared" si="42"/>
        <v>-0.60000000000013642</v>
      </c>
      <c r="P151">
        <f t="shared" si="43"/>
        <v>0.20000000000004547</v>
      </c>
      <c r="Q151">
        <f t="shared" si="44"/>
        <v>-2.1000000000001364</v>
      </c>
      <c r="R151">
        <f t="shared" si="45"/>
        <v>1475.7400000000002</v>
      </c>
      <c r="S151">
        <f t="shared" si="46"/>
        <v>1.999999999998181E-2</v>
      </c>
      <c r="T151">
        <f t="shared" si="47"/>
        <v>1477.7579999999998</v>
      </c>
      <c r="U151">
        <f t="shared" si="48"/>
        <v>-4.20000000001437E-2</v>
      </c>
      <c r="V151">
        <f t="shared" si="49"/>
        <v>1301.7040000000002</v>
      </c>
      <c r="W151">
        <f t="shared" si="50"/>
        <v>14.752999999999929</v>
      </c>
      <c r="X151">
        <f t="shared" si="51"/>
        <v>650.85200000000009</v>
      </c>
    </row>
    <row r="152" spans="1:24" x14ac:dyDescent="0.3">
      <c r="A152" t="s">
        <v>197</v>
      </c>
      <c r="B152">
        <v>1475.5</v>
      </c>
      <c r="C152">
        <v>1476.5</v>
      </c>
      <c r="D152">
        <v>1475.2</v>
      </c>
      <c r="E152">
        <v>1476.3</v>
      </c>
      <c r="F152">
        <v>4998</v>
      </c>
      <c r="G152">
        <v>0</v>
      </c>
      <c r="H152">
        <f t="shared" si="35"/>
        <v>1475.3</v>
      </c>
      <c r="I152">
        <f t="shared" si="36"/>
        <v>1476.5</v>
      </c>
      <c r="J152">
        <f t="shared" si="37"/>
        <v>1475.2</v>
      </c>
      <c r="K152">
        <f t="shared" si="38"/>
        <v>1.2999999999999545</v>
      </c>
      <c r="L152">
        <f t="shared" si="39"/>
        <v>0.20000000000004547</v>
      </c>
      <c r="M152" t="str">
        <f t="shared" si="40"/>
        <v>UP</v>
      </c>
      <c r="N152">
        <f t="shared" si="41"/>
        <v>1</v>
      </c>
      <c r="O152">
        <f t="shared" si="42"/>
        <v>1.0999999999999091</v>
      </c>
      <c r="P152">
        <f t="shared" si="43"/>
        <v>-0.20000000000004547</v>
      </c>
      <c r="Q152">
        <f t="shared" si="44"/>
        <v>-0.79999999999995453</v>
      </c>
      <c r="R152">
        <f t="shared" si="45"/>
        <v>1475.7200000000003</v>
      </c>
      <c r="S152">
        <f t="shared" si="46"/>
        <v>-1.999999999998181E-2</v>
      </c>
      <c r="T152">
        <f t="shared" si="47"/>
        <v>1477.8</v>
      </c>
      <c r="U152">
        <f t="shared" si="48"/>
        <v>-1.6000000000076398E-2</v>
      </c>
      <c r="V152">
        <f t="shared" si="49"/>
        <v>1286.9510000000002</v>
      </c>
      <c r="W152">
        <f t="shared" si="50"/>
        <v>14.763000000000147</v>
      </c>
      <c r="X152">
        <f t="shared" si="51"/>
        <v>643.47550000000012</v>
      </c>
    </row>
    <row r="153" spans="1:24" x14ac:dyDescent="0.3">
      <c r="A153" t="s">
        <v>54</v>
      </c>
      <c r="B153">
        <v>1476.1</v>
      </c>
      <c r="C153">
        <v>1476.3</v>
      </c>
      <c r="D153">
        <v>1475</v>
      </c>
      <c r="E153">
        <v>1475.3</v>
      </c>
      <c r="F153">
        <v>12344</v>
      </c>
      <c r="G153">
        <v>0</v>
      </c>
      <c r="H153">
        <f t="shared" si="35"/>
        <v>1475.6</v>
      </c>
      <c r="I153">
        <f t="shared" si="36"/>
        <v>1476.3</v>
      </c>
      <c r="J153">
        <f t="shared" si="37"/>
        <v>1475</v>
      </c>
      <c r="K153">
        <f t="shared" si="38"/>
        <v>1.2999999999999545</v>
      </c>
      <c r="L153">
        <f t="shared" si="39"/>
        <v>0.5</v>
      </c>
      <c r="M153" t="str">
        <f t="shared" si="40"/>
        <v>DOWN</v>
      </c>
      <c r="N153">
        <f t="shared" si="41"/>
        <v>-0.29999999999995453</v>
      </c>
      <c r="O153">
        <f t="shared" si="42"/>
        <v>-0.70000000000004547</v>
      </c>
      <c r="P153">
        <f t="shared" si="43"/>
        <v>-0.5</v>
      </c>
      <c r="Q153">
        <f t="shared" si="44"/>
        <v>-1.7999999999999545</v>
      </c>
      <c r="R153">
        <f t="shared" si="45"/>
        <v>1475.7400000000002</v>
      </c>
      <c r="S153">
        <f t="shared" si="46"/>
        <v>-4.9999999999727152E-2</v>
      </c>
      <c r="T153">
        <f t="shared" si="47"/>
        <v>1477.816</v>
      </c>
      <c r="U153">
        <f t="shared" si="48"/>
        <v>-2.3999999999887223E-2</v>
      </c>
      <c r="V153">
        <f t="shared" si="49"/>
        <v>1272.1880000000001</v>
      </c>
      <c r="W153">
        <f t="shared" si="50"/>
        <v>14.752999999999929</v>
      </c>
      <c r="X153">
        <f t="shared" si="51"/>
        <v>636.09400000000005</v>
      </c>
    </row>
    <row r="154" spans="1:24" x14ac:dyDescent="0.3">
      <c r="A154" t="s">
        <v>198</v>
      </c>
      <c r="B154">
        <v>1476.6</v>
      </c>
      <c r="C154">
        <v>1477</v>
      </c>
      <c r="D154">
        <v>1475.4</v>
      </c>
      <c r="E154">
        <v>1475.6</v>
      </c>
      <c r="F154">
        <v>6486</v>
      </c>
      <c r="G154">
        <v>0</v>
      </c>
      <c r="H154">
        <f t="shared" si="35"/>
        <v>1477</v>
      </c>
      <c r="I154">
        <f t="shared" si="36"/>
        <v>1477</v>
      </c>
      <c r="J154">
        <f t="shared" si="37"/>
        <v>1475.4</v>
      </c>
      <c r="K154">
        <f t="shared" si="38"/>
        <v>1.5999999999999091</v>
      </c>
      <c r="L154">
        <f t="shared" si="39"/>
        <v>-0.40000000000009095</v>
      </c>
      <c r="M154" t="str">
        <f t="shared" si="40"/>
        <v>DOWN</v>
      </c>
      <c r="N154">
        <f t="shared" si="41"/>
        <v>-1.4000000000000909</v>
      </c>
      <c r="O154">
        <f t="shared" si="42"/>
        <v>0</v>
      </c>
      <c r="P154">
        <f t="shared" si="43"/>
        <v>0.6999999999998181</v>
      </c>
      <c r="Q154">
        <f t="shared" si="44"/>
        <v>-1.5</v>
      </c>
      <c r="R154">
        <f t="shared" si="45"/>
        <v>1475.79</v>
      </c>
      <c r="S154">
        <f t="shared" si="46"/>
        <v>6.9999999999936335E-2</v>
      </c>
      <c r="T154">
        <f t="shared" si="47"/>
        <v>1477.84</v>
      </c>
      <c r="U154">
        <f t="shared" si="48"/>
        <v>-2.8000000000247383E-2</v>
      </c>
      <c r="V154">
        <f t="shared" si="49"/>
        <v>1257.4350000000002</v>
      </c>
      <c r="W154">
        <f t="shared" si="50"/>
        <v>14.755999999999858</v>
      </c>
      <c r="X154">
        <f t="shared" si="51"/>
        <v>628.71750000000009</v>
      </c>
    </row>
    <row r="155" spans="1:24" x14ac:dyDescent="0.3">
      <c r="A155" t="s">
        <v>199</v>
      </c>
      <c r="B155">
        <v>1475.9</v>
      </c>
      <c r="C155">
        <v>1477</v>
      </c>
      <c r="D155">
        <v>1475.7</v>
      </c>
      <c r="E155">
        <v>1477</v>
      </c>
      <c r="F155">
        <v>4117</v>
      </c>
      <c r="G155">
        <v>0</v>
      </c>
      <c r="H155">
        <f t="shared" si="35"/>
        <v>1475.9</v>
      </c>
      <c r="I155">
        <f t="shared" si="36"/>
        <v>1477</v>
      </c>
      <c r="J155">
        <f t="shared" si="37"/>
        <v>1475.7</v>
      </c>
      <c r="K155">
        <f t="shared" si="38"/>
        <v>1.2999999999999545</v>
      </c>
      <c r="L155">
        <f t="shared" si="39"/>
        <v>0</v>
      </c>
      <c r="M155" t="str">
        <f t="shared" si="40"/>
        <v>UP</v>
      </c>
      <c r="N155">
        <f t="shared" si="41"/>
        <v>1.0999999999999091</v>
      </c>
      <c r="O155">
        <f t="shared" si="42"/>
        <v>1.7999999999999545</v>
      </c>
      <c r="P155">
        <f t="shared" si="43"/>
        <v>1.7000000000000455</v>
      </c>
      <c r="Q155">
        <f t="shared" si="44"/>
        <v>-9.9999999999909051E-2</v>
      </c>
      <c r="R155">
        <f t="shared" si="45"/>
        <v>1475.72</v>
      </c>
      <c r="S155">
        <f t="shared" si="46"/>
        <v>0.17000000000030013</v>
      </c>
      <c r="T155">
        <f t="shared" si="47"/>
        <v>1477.8680000000002</v>
      </c>
      <c r="U155">
        <f t="shared" si="48"/>
        <v>-1.3999999999668944E-2</v>
      </c>
      <c r="V155">
        <f t="shared" si="49"/>
        <v>1242.6790000000003</v>
      </c>
      <c r="W155">
        <f t="shared" si="50"/>
        <v>14.770000000000209</v>
      </c>
      <c r="X155">
        <f t="shared" si="51"/>
        <v>621.33950000000016</v>
      </c>
    </row>
    <row r="156" spans="1:24" x14ac:dyDescent="0.3">
      <c r="A156" t="s">
        <v>200</v>
      </c>
      <c r="B156">
        <v>1475.4</v>
      </c>
      <c r="C156">
        <v>1476.9</v>
      </c>
      <c r="D156">
        <v>1475.2</v>
      </c>
      <c r="E156">
        <v>1475.9</v>
      </c>
      <c r="F156">
        <v>10179</v>
      </c>
      <c r="G156">
        <v>0</v>
      </c>
      <c r="H156">
        <f t="shared" si="35"/>
        <v>1475.2</v>
      </c>
      <c r="I156">
        <f t="shared" si="36"/>
        <v>1476.9</v>
      </c>
      <c r="J156">
        <f t="shared" si="37"/>
        <v>1475.2</v>
      </c>
      <c r="K156">
        <f t="shared" si="38"/>
        <v>1.7000000000000455</v>
      </c>
      <c r="L156">
        <f t="shared" si="39"/>
        <v>0.20000000000004547</v>
      </c>
      <c r="M156" t="str">
        <f t="shared" si="40"/>
        <v>UP</v>
      </c>
      <c r="N156">
        <f t="shared" si="41"/>
        <v>0.70000000000004547</v>
      </c>
      <c r="O156">
        <f t="shared" si="42"/>
        <v>0.8000000000001819</v>
      </c>
      <c r="P156">
        <f t="shared" si="43"/>
        <v>0.70000000000004547</v>
      </c>
      <c r="Q156">
        <f t="shared" si="44"/>
        <v>-1.1999999999998181</v>
      </c>
      <c r="R156">
        <f t="shared" si="45"/>
        <v>1475.5499999999997</v>
      </c>
      <c r="S156">
        <f t="shared" si="46"/>
        <v>6.9999999999936335E-2</v>
      </c>
      <c r="T156">
        <f t="shared" si="47"/>
        <v>1477.8819999999998</v>
      </c>
      <c r="U156">
        <f t="shared" si="48"/>
        <v>-4.6000000000049113E-2</v>
      </c>
      <c r="V156">
        <f t="shared" si="49"/>
        <v>1227.9090000000001</v>
      </c>
      <c r="W156">
        <f t="shared" si="50"/>
        <v>14.759000000000015</v>
      </c>
      <c r="X156">
        <f t="shared" si="51"/>
        <v>613.95450000000005</v>
      </c>
    </row>
    <row r="157" spans="1:24" x14ac:dyDescent="0.3">
      <c r="A157" t="s">
        <v>201</v>
      </c>
      <c r="B157">
        <v>1476.4</v>
      </c>
      <c r="C157">
        <v>1476.4</v>
      </c>
      <c r="D157">
        <v>1475.2</v>
      </c>
      <c r="E157">
        <v>1475.2</v>
      </c>
      <c r="F157">
        <v>6196</v>
      </c>
      <c r="G157">
        <v>0</v>
      </c>
      <c r="H157">
        <f t="shared" si="35"/>
        <v>1476</v>
      </c>
      <c r="I157">
        <f t="shared" si="36"/>
        <v>1476.4</v>
      </c>
      <c r="J157">
        <f t="shared" si="37"/>
        <v>1475.2</v>
      </c>
      <c r="K157">
        <f t="shared" si="38"/>
        <v>1.2000000000000455</v>
      </c>
      <c r="L157">
        <f t="shared" si="39"/>
        <v>0.40000000000009095</v>
      </c>
      <c r="M157" t="str">
        <f t="shared" si="40"/>
        <v>DOWN</v>
      </c>
      <c r="N157">
        <f t="shared" si="41"/>
        <v>-0.79999999999995453</v>
      </c>
      <c r="O157">
        <f t="shared" si="42"/>
        <v>-1.2999999999999545</v>
      </c>
      <c r="P157">
        <f t="shared" si="43"/>
        <v>-1.2000000000000455</v>
      </c>
      <c r="Q157">
        <f t="shared" si="44"/>
        <v>-1.8999999999998636</v>
      </c>
      <c r="R157">
        <f t="shared" si="45"/>
        <v>1475.4799999999998</v>
      </c>
      <c r="S157">
        <f t="shared" si="46"/>
        <v>-0.12000000000011823</v>
      </c>
      <c r="T157">
        <f t="shared" si="47"/>
        <v>1477.9279999999999</v>
      </c>
      <c r="U157">
        <f t="shared" si="48"/>
        <v>-4.8000000000229193E-2</v>
      </c>
      <c r="V157">
        <f t="shared" si="49"/>
        <v>1213.1500000000001</v>
      </c>
      <c r="W157">
        <f t="shared" si="50"/>
        <v>14.751999999999953</v>
      </c>
      <c r="X157">
        <f t="shared" si="51"/>
        <v>606.57500000000005</v>
      </c>
    </row>
    <row r="158" spans="1:24" x14ac:dyDescent="0.3">
      <c r="A158" t="s">
        <v>55</v>
      </c>
      <c r="B158">
        <v>1476.3</v>
      </c>
      <c r="C158">
        <v>1476.9</v>
      </c>
      <c r="D158">
        <v>1475.6</v>
      </c>
      <c r="E158">
        <v>1476</v>
      </c>
      <c r="F158">
        <v>4012</v>
      </c>
      <c r="G158">
        <v>0</v>
      </c>
      <c r="H158">
        <f t="shared" si="35"/>
        <v>1475.6</v>
      </c>
      <c r="I158">
        <f t="shared" si="36"/>
        <v>1476.9</v>
      </c>
      <c r="J158">
        <f t="shared" si="37"/>
        <v>1475.6</v>
      </c>
      <c r="K158">
        <f t="shared" si="38"/>
        <v>1.3000000000001819</v>
      </c>
      <c r="L158">
        <f t="shared" si="39"/>
        <v>0.70000000000004547</v>
      </c>
      <c r="M158" t="str">
        <f t="shared" si="40"/>
        <v>UP</v>
      </c>
      <c r="N158">
        <f t="shared" si="41"/>
        <v>0.40000000000009095</v>
      </c>
      <c r="O158">
        <f t="shared" si="42"/>
        <v>0.20000000000004547</v>
      </c>
      <c r="P158">
        <f t="shared" si="43"/>
        <v>0</v>
      </c>
      <c r="Q158">
        <f t="shared" si="44"/>
        <v>-1.0999999999999091</v>
      </c>
      <c r="R158">
        <f t="shared" si="45"/>
        <v>1475.6</v>
      </c>
      <c r="S158">
        <f t="shared" si="46"/>
        <v>0</v>
      </c>
      <c r="T158">
        <f t="shared" si="47"/>
        <v>1477.9760000000001</v>
      </c>
      <c r="U158">
        <f t="shared" si="48"/>
        <v>-6.1999999999670763E-2</v>
      </c>
      <c r="V158">
        <f t="shared" si="49"/>
        <v>1198.3980000000001</v>
      </c>
      <c r="W158">
        <f t="shared" si="50"/>
        <v>14.760000000000218</v>
      </c>
      <c r="X158">
        <f t="shared" si="51"/>
        <v>599.19900000000007</v>
      </c>
    </row>
    <row r="159" spans="1:24" x14ac:dyDescent="0.3">
      <c r="A159" t="s">
        <v>202</v>
      </c>
      <c r="B159">
        <v>1475.5</v>
      </c>
      <c r="C159">
        <v>1476.6</v>
      </c>
      <c r="D159">
        <v>1475.1</v>
      </c>
      <c r="E159">
        <v>1475.6</v>
      </c>
      <c r="F159">
        <v>4578</v>
      </c>
      <c r="G159">
        <v>0</v>
      </c>
      <c r="H159">
        <f t="shared" si="35"/>
        <v>1475.2</v>
      </c>
      <c r="I159">
        <f t="shared" si="36"/>
        <v>1476.6</v>
      </c>
      <c r="J159">
        <f t="shared" si="37"/>
        <v>1475.1</v>
      </c>
      <c r="K159">
        <f t="shared" si="38"/>
        <v>1.5</v>
      </c>
      <c r="L159">
        <f t="shared" si="39"/>
        <v>0.29999999999995453</v>
      </c>
      <c r="M159" t="str">
        <f t="shared" si="40"/>
        <v>UP</v>
      </c>
      <c r="N159">
        <f t="shared" si="41"/>
        <v>0.39999999999986358</v>
      </c>
      <c r="O159">
        <f t="shared" si="42"/>
        <v>0.6999999999998181</v>
      </c>
      <c r="P159">
        <f t="shared" si="43"/>
        <v>-1</v>
      </c>
      <c r="Q159">
        <f t="shared" si="44"/>
        <v>-1.5</v>
      </c>
      <c r="R159">
        <f t="shared" si="45"/>
        <v>1475.6</v>
      </c>
      <c r="S159">
        <f t="shared" si="46"/>
        <v>-0.10000000000013642</v>
      </c>
      <c r="T159">
        <f t="shared" si="47"/>
        <v>1478.0379999999998</v>
      </c>
      <c r="U159">
        <f t="shared" si="48"/>
        <v>-2.8000000000247383E-2</v>
      </c>
      <c r="V159">
        <f t="shared" si="49"/>
        <v>1183.6379999999999</v>
      </c>
      <c r="W159">
        <f t="shared" si="50"/>
        <v>14.755999999999858</v>
      </c>
      <c r="X159">
        <f t="shared" si="51"/>
        <v>591.81899999999996</v>
      </c>
    </row>
    <row r="160" spans="1:24" x14ac:dyDescent="0.3">
      <c r="A160" t="s">
        <v>203</v>
      </c>
      <c r="B160">
        <v>1475.1</v>
      </c>
      <c r="C160">
        <v>1476.3</v>
      </c>
      <c r="D160">
        <v>1475.1</v>
      </c>
      <c r="E160">
        <v>1475.2</v>
      </c>
      <c r="F160">
        <v>5311</v>
      </c>
      <c r="G160">
        <v>0</v>
      </c>
      <c r="H160">
        <f t="shared" si="35"/>
        <v>1475.1</v>
      </c>
      <c r="I160">
        <f t="shared" si="36"/>
        <v>1476.3</v>
      </c>
      <c r="J160">
        <f t="shared" si="37"/>
        <v>1475.1</v>
      </c>
      <c r="K160">
        <f t="shared" si="38"/>
        <v>1.2000000000000455</v>
      </c>
      <c r="L160">
        <f t="shared" si="39"/>
        <v>0</v>
      </c>
      <c r="M160" t="str">
        <f t="shared" si="40"/>
        <v>UP</v>
      </c>
      <c r="N160">
        <f t="shared" si="41"/>
        <v>0.10000000000013642</v>
      </c>
      <c r="O160">
        <f t="shared" si="42"/>
        <v>-9.9999999999909051E-2</v>
      </c>
      <c r="P160">
        <f t="shared" si="43"/>
        <v>-2.0999999999999091</v>
      </c>
      <c r="Q160">
        <f t="shared" si="44"/>
        <v>-1.8999999999998636</v>
      </c>
      <c r="R160">
        <f t="shared" si="45"/>
        <v>1475.7</v>
      </c>
      <c r="S160">
        <f t="shared" si="46"/>
        <v>-0.20999999999980901</v>
      </c>
      <c r="T160">
        <f t="shared" si="47"/>
        <v>1478.066</v>
      </c>
      <c r="U160">
        <f t="shared" si="48"/>
        <v>-1.6000000000076398E-2</v>
      </c>
      <c r="V160">
        <f t="shared" si="49"/>
        <v>1168.8820000000001</v>
      </c>
      <c r="W160">
        <f t="shared" si="50"/>
        <v>14.751999999999953</v>
      </c>
      <c r="X160">
        <f t="shared" si="51"/>
        <v>584.44100000000003</v>
      </c>
    </row>
    <row r="161" spans="1:24" x14ac:dyDescent="0.3">
      <c r="A161" t="s">
        <v>204</v>
      </c>
      <c r="B161">
        <v>1477</v>
      </c>
      <c r="C161">
        <v>1477</v>
      </c>
      <c r="D161">
        <v>1474.7</v>
      </c>
      <c r="E161">
        <v>1475.1</v>
      </c>
      <c r="F161">
        <v>10015</v>
      </c>
      <c r="G161">
        <v>0</v>
      </c>
      <c r="H161">
        <f t="shared" si="35"/>
        <v>1476.5</v>
      </c>
      <c r="I161">
        <f t="shared" si="36"/>
        <v>1477</v>
      </c>
      <c r="J161">
        <f t="shared" si="37"/>
        <v>1474.7</v>
      </c>
      <c r="K161">
        <f t="shared" si="38"/>
        <v>2.2999999999999545</v>
      </c>
      <c r="L161">
        <f t="shared" si="39"/>
        <v>0.5</v>
      </c>
      <c r="M161" t="str">
        <f t="shared" si="40"/>
        <v>DOWN</v>
      </c>
      <c r="N161">
        <f t="shared" si="41"/>
        <v>-1.4000000000000909</v>
      </c>
      <c r="O161">
        <f t="shared" si="42"/>
        <v>-0.10000000000013642</v>
      </c>
      <c r="P161">
        <f t="shared" si="43"/>
        <v>-2.5</v>
      </c>
      <c r="Q161">
        <f t="shared" si="44"/>
        <v>-2</v>
      </c>
      <c r="R161">
        <f t="shared" si="45"/>
        <v>1475.9099999999999</v>
      </c>
      <c r="S161">
        <f t="shared" si="46"/>
        <v>-0.25000000000022737</v>
      </c>
      <c r="T161">
        <f t="shared" si="47"/>
        <v>1478.0820000000001</v>
      </c>
      <c r="U161">
        <f t="shared" si="48"/>
        <v>-4.1999999999916326E-2</v>
      </c>
      <c r="V161">
        <f t="shared" si="49"/>
        <v>1154.1300000000001</v>
      </c>
      <c r="W161">
        <f t="shared" si="50"/>
        <v>14.750999999999976</v>
      </c>
      <c r="X161">
        <f t="shared" si="51"/>
        <v>577.06500000000005</v>
      </c>
    </row>
    <row r="162" spans="1:24" x14ac:dyDescent="0.3">
      <c r="A162" t="s">
        <v>205</v>
      </c>
      <c r="B162">
        <v>1476</v>
      </c>
      <c r="C162">
        <v>1476.7</v>
      </c>
      <c r="D162">
        <v>1475.8</v>
      </c>
      <c r="E162">
        <v>1476.5</v>
      </c>
      <c r="F162">
        <v>3501</v>
      </c>
      <c r="G162">
        <v>0</v>
      </c>
      <c r="H162">
        <f t="shared" si="35"/>
        <v>1475.8</v>
      </c>
      <c r="I162">
        <f t="shared" si="36"/>
        <v>1476.7</v>
      </c>
      <c r="J162">
        <f t="shared" si="37"/>
        <v>1475.8</v>
      </c>
      <c r="K162">
        <f t="shared" si="38"/>
        <v>0.90000000000009095</v>
      </c>
      <c r="L162">
        <f t="shared" si="39"/>
        <v>0.20000000000004547</v>
      </c>
      <c r="M162" t="str">
        <f t="shared" si="40"/>
        <v>UP</v>
      </c>
      <c r="N162">
        <f t="shared" si="41"/>
        <v>0.70000000000004547</v>
      </c>
      <c r="O162">
        <f t="shared" si="42"/>
        <v>9.9999999999909051E-2</v>
      </c>
      <c r="P162">
        <f t="shared" si="43"/>
        <v>-0.90000000000009095</v>
      </c>
      <c r="Q162">
        <f t="shared" si="44"/>
        <v>-0.59999999999990905</v>
      </c>
      <c r="R162">
        <f t="shared" si="45"/>
        <v>1476.16</v>
      </c>
      <c r="S162">
        <f t="shared" si="46"/>
        <v>-8.9999999999918145E-2</v>
      </c>
      <c r="T162">
        <f t="shared" si="47"/>
        <v>1478.124</v>
      </c>
      <c r="U162">
        <f t="shared" si="48"/>
        <v>-3.1999999999925421E-2</v>
      </c>
      <c r="V162">
        <f t="shared" si="49"/>
        <v>1139.3790000000001</v>
      </c>
      <c r="W162">
        <f t="shared" si="50"/>
        <v>14.7650000000001</v>
      </c>
      <c r="X162">
        <f t="shared" si="51"/>
        <v>569.68950000000007</v>
      </c>
    </row>
    <row r="163" spans="1:24" x14ac:dyDescent="0.3">
      <c r="A163" t="s">
        <v>56</v>
      </c>
      <c r="B163">
        <v>1474.8</v>
      </c>
      <c r="C163">
        <v>1476</v>
      </c>
      <c r="D163">
        <v>1474.6</v>
      </c>
      <c r="E163">
        <v>1475.8</v>
      </c>
      <c r="F163">
        <v>3992</v>
      </c>
      <c r="G163">
        <v>0</v>
      </c>
      <c r="H163">
        <f t="shared" si="35"/>
        <v>1474.9</v>
      </c>
      <c r="I163">
        <f t="shared" si="36"/>
        <v>1476</v>
      </c>
      <c r="J163">
        <f t="shared" si="37"/>
        <v>1474.6</v>
      </c>
      <c r="K163">
        <f t="shared" si="38"/>
        <v>1.4000000000000909</v>
      </c>
      <c r="L163">
        <f t="shared" si="39"/>
        <v>-0.10000000000013642</v>
      </c>
      <c r="M163" t="str">
        <f t="shared" si="40"/>
        <v>UP</v>
      </c>
      <c r="N163">
        <f t="shared" si="41"/>
        <v>0.89999999999986358</v>
      </c>
      <c r="O163">
        <f t="shared" si="42"/>
        <v>-0.20000000000004547</v>
      </c>
      <c r="P163">
        <f t="shared" si="43"/>
        <v>-1.9000000000000909</v>
      </c>
      <c r="Q163">
        <f t="shared" si="44"/>
        <v>-1.2999999999999545</v>
      </c>
      <c r="R163">
        <f t="shared" si="45"/>
        <v>1476.25</v>
      </c>
      <c r="S163">
        <f t="shared" si="46"/>
        <v>-0.19000000000005457</v>
      </c>
      <c r="T163">
        <f t="shared" si="47"/>
        <v>1478.1559999999999</v>
      </c>
      <c r="U163">
        <f t="shared" si="48"/>
        <v>-5.5999999999812644E-2</v>
      </c>
      <c r="V163">
        <f t="shared" si="49"/>
        <v>1124.614</v>
      </c>
      <c r="W163">
        <f t="shared" si="50"/>
        <v>14.758000000000038</v>
      </c>
      <c r="X163">
        <f t="shared" si="51"/>
        <v>562.30700000000002</v>
      </c>
    </row>
    <row r="164" spans="1:24" x14ac:dyDescent="0.3">
      <c r="A164" t="s">
        <v>206</v>
      </c>
      <c r="B164">
        <v>1475.3</v>
      </c>
      <c r="C164">
        <v>1475.8</v>
      </c>
      <c r="D164">
        <v>1474.1</v>
      </c>
      <c r="E164">
        <v>1474.9</v>
      </c>
      <c r="F164">
        <v>20611</v>
      </c>
      <c r="G164">
        <v>0</v>
      </c>
      <c r="H164">
        <f t="shared" si="35"/>
        <v>1475.3</v>
      </c>
      <c r="I164">
        <f t="shared" si="36"/>
        <v>1475.8</v>
      </c>
      <c r="J164">
        <f t="shared" si="37"/>
        <v>1474.1</v>
      </c>
      <c r="K164">
        <f t="shared" si="38"/>
        <v>1.7000000000000455</v>
      </c>
      <c r="L164">
        <f t="shared" si="39"/>
        <v>0</v>
      </c>
      <c r="M164" t="str">
        <f t="shared" si="40"/>
        <v>DOWN</v>
      </c>
      <c r="N164">
        <f t="shared" si="41"/>
        <v>-0.39999999999986358</v>
      </c>
      <c r="O164">
        <f t="shared" si="42"/>
        <v>-1.6999999999998181</v>
      </c>
      <c r="P164">
        <f t="shared" si="43"/>
        <v>-1.8999999999998636</v>
      </c>
      <c r="Q164">
        <f t="shared" si="44"/>
        <v>-2.1999999999998181</v>
      </c>
      <c r="R164">
        <f t="shared" si="45"/>
        <v>1476.44</v>
      </c>
      <c r="S164">
        <f t="shared" si="46"/>
        <v>-0.1899999999998272</v>
      </c>
      <c r="T164">
        <f t="shared" si="47"/>
        <v>1478.2119999999998</v>
      </c>
      <c r="U164">
        <f t="shared" si="48"/>
        <v>-6.200000000012551E-2</v>
      </c>
      <c r="V164">
        <f t="shared" si="49"/>
        <v>1109.856</v>
      </c>
      <c r="W164">
        <f t="shared" si="50"/>
        <v>14.749000000000024</v>
      </c>
      <c r="X164">
        <f t="shared" si="51"/>
        <v>554.928</v>
      </c>
    </row>
    <row r="165" spans="1:24" x14ac:dyDescent="0.3">
      <c r="A165" t="s">
        <v>207</v>
      </c>
      <c r="B165">
        <v>1475.7</v>
      </c>
      <c r="C165">
        <v>1475.9</v>
      </c>
      <c r="D165">
        <v>1475</v>
      </c>
      <c r="E165">
        <v>1475.3</v>
      </c>
      <c r="F165">
        <v>7012</v>
      </c>
      <c r="G165">
        <v>0</v>
      </c>
      <c r="H165">
        <f t="shared" si="35"/>
        <v>1475.2</v>
      </c>
      <c r="I165">
        <f t="shared" si="36"/>
        <v>1475.9</v>
      </c>
      <c r="J165">
        <f t="shared" si="37"/>
        <v>1475</v>
      </c>
      <c r="K165">
        <f t="shared" si="38"/>
        <v>0.90000000000009095</v>
      </c>
      <c r="L165">
        <f t="shared" si="39"/>
        <v>0.5</v>
      </c>
      <c r="M165" t="str">
        <f t="shared" si="40"/>
        <v>UP</v>
      </c>
      <c r="N165">
        <f t="shared" si="41"/>
        <v>9.9999999999909051E-2</v>
      </c>
      <c r="O165">
        <f t="shared" si="42"/>
        <v>-2</v>
      </c>
      <c r="P165">
        <f t="shared" si="43"/>
        <v>-2.1000000000001364</v>
      </c>
      <c r="Q165">
        <f t="shared" si="44"/>
        <v>-1.7999999999999545</v>
      </c>
      <c r="R165">
        <f t="shared" si="45"/>
        <v>1476.6299999999999</v>
      </c>
      <c r="S165">
        <f t="shared" si="46"/>
        <v>-0.21000000000003638</v>
      </c>
      <c r="T165">
        <f t="shared" si="47"/>
        <v>1478.2739999999999</v>
      </c>
      <c r="U165">
        <f t="shared" si="48"/>
        <v>-0.13199999999983447</v>
      </c>
      <c r="V165">
        <f t="shared" si="49"/>
        <v>1095.107</v>
      </c>
      <c r="W165">
        <f t="shared" si="50"/>
        <v>14.752999999999929</v>
      </c>
      <c r="X165">
        <f t="shared" si="51"/>
        <v>547.55349999999999</v>
      </c>
    </row>
    <row r="166" spans="1:24" x14ac:dyDescent="0.3">
      <c r="A166" t="s">
        <v>208</v>
      </c>
      <c r="B166">
        <v>1476.1</v>
      </c>
      <c r="C166">
        <v>1476.4</v>
      </c>
      <c r="D166">
        <v>1475.2</v>
      </c>
      <c r="E166">
        <v>1475.2</v>
      </c>
      <c r="F166">
        <v>5233</v>
      </c>
      <c r="G166">
        <v>0</v>
      </c>
      <c r="H166">
        <f t="shared" si="35"/>
        <v>1476.4</v>
      </c>
      <c r="I166">
        <f t="shared" si="36"/>
        <v>1476.4</v>
      </c>
      <c r="J166">
        <f t="shared" si="37"/>
        <v>1475.2</v>
      </c>
      <c r="K166">
        <f t="shared" si="38"/>
        <v>1.2000000000000455</v>
      </c>
      <c r="L166">
        <f t="shared" si="39"/>
        <v>-0.3000000000001819</v>
      </c>
      <c r="M166" t="str">
        <f t="shared" si="40"/>
        <v>DOWN</v>
      </c>
      <c r="N166">
        <f t="shared" si="41"/>
        <v>-1.2000000000000455</v>
      </c>
      <c r="O166">
        <f t="shared" si="42"/>
        <v>-2.3999999999998636</v>
      </c>
      <c r="P166">
        <f t="shared" si="43"/>
        <v>-2.7000000000000455</v>
      </c>
      <c r="Q166">
        <f t="shared" si="44"/>
        <v>-1.8999999999998636</v>
      </c>
      <c r="R166">
        <f t="shared" si="45"/>
        <v>1476.84</v>
      </c>
      <c r="S166">
        <f t="shared" si="46"/>
        <v>-0.26999999999998181</v>
      </c>
      <c r="T166">
        <f t="shared" si="47"/>
        <v>1478.4059999999997</v>
      </c>
      <c r="U166">
        <f t="shared" si="48"/>
        <v>-0.12400000000002365</v>
      </c>
      <c r="V166">
        <f t="shared" si="49"/>
        <v>1080.354</v>
      </c>
      <c r="W166">
        <f t="shared" si="50"/>
        <v>14.75200000000018</v>
      </c>
      <c r="X166">
        <f t="shared" si="51"/>
        <v>540.17700000000002</v>
      </c>
    </row>
    <row r="167" spans="1:24" x14ac:dyDescent="0.3">
      <c r="A167" t="s">
        <v>209</v>
      </c>
      <c r="B167">
        <v>1476.1</v>
      </c>
      <c r="C167">
        <v>1476.7</v>
      </c>
      <c r="D167">
        <v>1475.2</v>
      </c>
      <c r="E167">
        <v>1476.4</v>
      </c>
      <c r="F167">
        <v>8195</v>
      </c>
      <c r="G167">
        <v>0</v>
      </c>
      <c r="H167">
        <f t="shared" si="35"/>
        <v>1476</v>
      </c>
      <c r="I167">
        <f t="shared" si="36"/>
        <v>1476.7</v>
      </c>
      <c r="J167">
        <f t="shared" si="37"/>
        <v>1475.2</v>
      </c>
      <c r="K167">
        <f t="shared" si="38"/>
        <v>1.5</v>
      </c>
      <c r="L167">
        <f t="shared" si="39"/>
        <v>9.9999999999909051E-2</v>
      </c>
      <c r="M167" t="str">
        <f t="shared" si="40"/>
        <v>UP</v>
      </c>
      <c r="N167">
        <f t="shared" si="41"/>
        <v>0.40000000000009095</v>
      </c>
      <c r="O167">
        <f t="shared" si="42"/>
        <v>-1</v>
      </c>
      <c r="P167">
        <f t="shared" si="43"/>
        <v>-1.8999999999998636</v>
      </c>
      <c r="Q167">
        <f t="shared" si="44"/>
        <v>-0.6999999999998181</v>
      </c>
      <c r="R167">
        <f t="shared" si="45"/>
        <v>1477.11</v>
      </c>
      <c r="S167">
        <f t="shared" si="46"/>
        <v>-0.1899999999998272</v>
      </c>
      <c r="T167">
        <f t="shared" si="47"/>
        <v>1478.5299999999997</v>
      </c>
      <c r="U167">
        <f t="shared" si="48"/>
        <v>-0.13199999999983447</v>
      </c>
      <c r="V167">
        <f t="shared" si="49"/>
        <v>1065.6019999999999</v>
      </c>
      <c r="W167">
        <f t="shared" si="50"/>
        <v>14.763999999999896</v>
      </c>
      <c r="X167">
        <f t="shared" si="51"/>
        <v>532.80099999999993</v>
      </c>
    </row>
    <row r="168" spans="1:24" x14ac:dyDescent="0.3">
      <c r="A168" t="s">
        <v>57</v>
      </c>
      <c r="B168">
        <v>1476.6</v>
      </c>
      <c r="C168">
        <v>1477.4</v>
      </c>
      <c r="D168">
        <v>1476</v>
      </c>
      <c r="E168">
        <v>1476</v>
      </c>
      <c r="F168">
        <v>8319</v>
      </c>
      <c r="G168">
        <v>0</v>
      </c>
      <c r="H168">
        <f t="shared" si="35"/>
        <v>1476.6</v>
      </c>
      <c r="I168">
        <f t="shared" si="36"/>
        <v>1477.4</v>
      </c>
      <c r="J168">
        <f t="shared" si="37"/>
        <v>1476</v>
      </c>
      <c r="K168">
        <f t="shared" si="38"/>
        <v>1.4000000000000909</v>
      </c>
      <c r="L168">
        <f t="shared" si="39"/>
        <v>0</v>
      </c>
      <c r="M168" t="str">
        <f t="shared" si="40"/>
        <v>DOWN</v>
      </c>
      <c r="N168">
        <f t="shared" si="41"/>
        <v>-0.59999999999990905</v>
      </c>
      <c r="O168">
        <f t="shared" si="42"/>
        <v>-1.7000000000000455</v>
      </c>
      <c r="P168">
        <f t="shared" si="43"/>
        <v>-3.5999999999999091</v>
      </c>
      <c r="Q168">
        <f t="shared" si="44"/>
        <v>-1.0999999999999091</v>
      </c>
      <c r="R168">
        <f t="shared" si="45"/>
        <v>1477.2999999999997</v>
      </c>
      <c r="S168">
        <f t="shared" si="46"/>
        <v>-0.36000000000012733</v>
      </c>
      <c r="T168">
        <f t="shared" si="47"/>
        <v>1478.6619999999996</v>
      </c>
      <c r="U168">
        <f t="shared" si="48"/>
        <v>-0.13399999999978718</v>
      </c>
      <c r="V168">
        <f t="shared" si="49"/>
        <v>1050.838</v>
      </c>
      <c r="W168">
        <f t="shared" si="50"/>
        <v>14.759999999999991</v>
      </c>
      <c r="X168">
        <f t="shared" si="51"/>
        <v>525.41899999999998</v>
      </c>
    </row>
    <row r="169" spans="1:24" x14ac:dyDescent="0.3">
      <c r="A169" t="s">
        <v>210</v>
      </c>
      <c r="B169">
        <v>1477.8</v>
      </c>
      <c r="C169">
        <v>1478.3</v>
      </c>
      <c r="D169">
        <v>1476.5</v>
      </c>
      <c r="E169">
        <v>1476.6</v>
      </c>
      <c r="F169">
        <v>4512</v>
      </c>
      <c r="G169">
        <v>0</v>
      </c>
      <c r="H169">
        <f t="shared" si="35"/>
        <v>1477.3</v>
      </c>
      <c r="I169">
        <f t="shared" si="36"/>
        <v>1478.3</v>
      </c>
      <c r="J169">
        <f t="shared" si="37"/>
        <v>1476.5</v>
      </c>
      <c r="K169">
        <f t="shared" si="38"/>
        <v>1.7999999999999545</v>
      </c>
      <c r="L169">
        <f t="shared" si="39"/>
        <v>0.5</v>
      </c>
      <c r="M169" t="str">
        <f t="shared" si="40"/>
        <v>DOWN</v>
      </c>
      <c r="N169">
        <f t="shared" si="41"/>
        <v>-0.70000000000004547</v>
      </c>
      <c r="O169">
        <f t="shared" si="42"/>
        <v>-0.20000000000004547</v>
      </c>
      <c r="P169">
        <f t="shared" si="43"/>
        <v>-3.3000000000001819</v>
      </c>
      <c r="Q169">
        <f t="shared" si="44"/>
        <v>-0.5</v>
      </c>
      <c r="R169">
        <f t="shared" si="45"/>
        <v>1477.6599999999999</v>
      </c>
      <c r="S169">
        <f t="shared" si="46"/>
        <v>-0.32999999999992724</v>
      </c>
      <c r="T169">
        <f t="shared" si="47"/>
        <v>1478.7959999999994</v>
      </c>
      <c r="U169">
        <f t="shared" si="48"/>
        <v>-0.13799999999991996</v>
      </c>
      <c r="V169">
        <f t="shared" si="49"/>
        <v>1036.078</v>
      </c>
      <c r="W169">
        <f t="shared" si="50"/>
        <v>14.76600000000019</v>
      </c>
      <c r="X169">
        <f t="shared" si="51"/>
        <v>518.03899999999999</v>
      </c>
    </row>
    <row r="170" spans="1:24" x14ac:dyDescent="0.3">
      <c r="A170" t="s">
        <v>211</v>
      </c>
      <c r="B170">
        <v>1477.6</v>
      </c>
      <c r="C170">
        <v>1479</v>
      </c>
      <c r="D170">
        <v>1477.2</v>
      </c>
      <c r="E170">
        <v>1477.3</v>
      </c>
      <c r="F170">
        <v>4165</v>
      </c>
      <c r="G170">
        <v>0</v>
      </c>
      <c r="H170">
        <f t="shared" si="35"/>
        <v>1477.6</v>
      </c>
      <c r="I170">
        <f t="shared" si="36"/>
        <v>1479</v>
      </c>
      <c r="J170">
        <f t="shared" si="37"/>
        <v>1477.2</v>
      </c>
      <c r="K170">
        <f t="shared" si="38"/>
        <v>1.7999999999999545</v>
      </c>
      <c r="L170">
        <f t="shared" si="39"/>
        <v>0</v>
      </c>
      <c r="M170" t="str">
        <f t="shared" si="40"/>
        <v>DOWN</v>
      </c>
      <c r="N170">
        <f t="shared" si="41"/>
        <v>-0.29999999999995453</v>
      </c>
      <c r="O170">
        <f t="shared" si="42"/>
        <v>-0.10000000000013642</v>
      </c>
      <c r="P170">
        <f t="shared" si="43"/>
        <v>-2.7000000000000455</v>
      </c>
      <c r="Q170">
        <f t="shared" si="44"/>
        <v>0.20000000000004547</v>
      </c>
      <c r="R170">
        <f t="shared" si="45"/>
        <v>1477.9899999999998</v>
      </c>
      <c r="S170">
        <f t="shared" si="46"/>
        <v>-0.26999999999998181</v>
      </c>
      <c r="T170">
        <f t="shared" si="47"/>
        <v>1478.9339999999993</v>
      </c>
      <c r="U170">
        <f t="shared" si="48"/>
        <v>-0.12800000000015643</v>
      </c>
      <c r="V170">
        <f t="shared" si="49"/>
        <v>1021.3119999999998</v>
      </c>
      <c r="W170">
        <f t="shared" si="50"/>
        <v>14.772999999999797</v>
      </c>
      <c r="X170">
        <f t="shared" si="51"/>
        <v>510.65599999999989</v>
      </c>
    </row>
    <row r="171" spans="1:24" x14ac:dyDescent="0.3">
      <c r="A171" t="s">
        <v>212</v>
      </c>
      <c r="B171">
        <v>1477.4</v>
      </c>
      <c r="C171">
        <v>1477.9</v>
      </c>
      <c r="D171">
        <v>1476.2</v>
      </c>
      <c r="E171">
        <v>1477.6</v>
      </c>
      <c r="F171">
        <v>11076</v>
      </c>
      <c r="G171">
        <v>0</v>
      </c>
      <c r="H171">
        <f t="shared" si="35"/>
        <v>1477.4</v>
      </c>
      <c r="I171">
        <f t="shared" si="36"/>
        <v>1477.9</v>
      </c>
      <c r="J171">
        <f t="shared" si="37"/>
        <v>1476.2</v>
      </c>
      <c r="K171">
        <f t="shared" si="38"/>
        <v>1.7000000000000455</v>
      </c>
      <c r="L171">
        <f t="shared" si="39"/>
        <v>0</v>
      </c>
      <c r="M171" t="str">
        <f t="shared" si="40"/>
        <v>UP</v>
      </c>
      <c r="N171">
        <f t="shared" si="41"/>
        <v>0.1999999999998181</v>
      </c>
      <c r="O171">
        <f t="shared" si="42"/>
        <v>-0.3000000000001819</v>
      </c>
      <c r="P171">
        <f t="shared" si="43"/>
        <v>-2.4000000000000909</v>
      </c>
      <c r="Q171">
        <f t="shared" si="44"/>
        <v>0.5</v>
      </c>
      <c r="R171">
        <f t="shared" si="45"/>
        <v>1478.2599999999998</v>
      </c>
      <c r="S171">
        <f t="shared" si="46"/>
        <v>-0.24000000000023647</v>
      </c>
      <c r="T171">
        <f t="shared" si="47"/>
        <v>1479.0619999999994</v>
      </c>
      <c r="U171">
        <f t="shared" si="48"/>
        <v>-0.11200000000030741</v>
      </c>
      <c r="V171">
        <f t="shared" si="49"/>
        <v>1006.539</v>
      </c>
      <c r="W171">
        <f t="shared" si="50"/>
        <v>14.775999999999954</v>
      </c>
      <c r="X171">
        <f t="shared" si="51"/>
        <v>503.26949999999999</v>
      </c>
    </row>
    <row r="172" spans="1:24" x14ac:dyDescent="0.3">
      <c r="A172" t="s">
        <v>213</v>
      </c>
      <c r="B172">
        <v>1477.5</v>
      </c>
      <c r="C172">
        <v>1478</v>
      </c>
      <c r="D172">
        <v>1477</v>
      </c>
      <c r="E172">
        <v>1477.4</v>
      </c>
      <c r="F172">
        <v>2933</v>
      </c>
      <c r="G172">
        <v>0</v>
      </c>
      <c r="H172">
        <f t="shared" si="35"/>
        <v>1477.7</v>
      </c>
      <c r="I172">
        <f t="shared" si="36"/>
        <v>1478</v>
      </c>
      <c r="J172">
        <f t="shared" si="37"/>
        <v>1477</v>
      </c>
      <c r="K172">
        <f t="shared" si="38"/>
        <v>1</v>
      </c>
      <c r="L172">
        <f t="shared" si="39"/>
        <v>-0.20000000000004547</v>
      </c>
      <c r="M172" t="str">
        <f t="shared" si="40"/>
        <v>DOWN</v>
      </c>
      <c r="N172">
        <f t="shared" si="41"/>
        <v>-0.29999999999995453</v>
      </c>
      <c r="O172">
        <f t="shared" si="42"/>
        <v>-0.89999999999986358</v>
      </c>
      <c r="P172">
        <f t="shared" si="43"/>
        <v>-1.3999999999998636</v>
      </c>
      <c r="Q172">
        <f t="shared" si="44"/>
        <v>0.3000000000001819</v>
      </c>
      <c r="R172">
        <f t="shared" si="45"/>
        <v>1478.5</v>
      </c>
      <c r="S172">
        <f t="shared" si="46"/>
        <v>-0.13999999999987267</v>
      </c>
      <c r="T172">
        <f t="shared" si="47"/>
        <v>1479.1739999999998</v>
      </c>
      <c r="U172">
        <f t="shared" si="48"/>
        <v>-0.10399999999981446</v>
      </c>
      <c r="V172">
        <f t="shared" si="49"/>
        <v>991.76300000000003</v>
      </c>
      <c r="W172">
        <f t="shared" si="50"/>
        <v>14.774000000000115</v>
      </c>
      <c r="X172">
        <f t="shared" si="51"/>
        <v>495.88150000000002</v>
      </c>
    </row>
    <row r="173" spans="1:24" x14ac:dyDescent="0.3">
      <c r="A173" t="s">
        <v>58</v>
      </c>
      <c r="B173">
        <v>1476.6</v>
      </c>
      <c r="C173">
        <v>1478.3</v>
      </c>
      <c r="D173">
        <v>1476.3</v>
      </c>
      <c r="E173">
        <v>1477.7</v>
      </c>
      <c r="F173">
        <v>5752</v>
      </c>
      <c r="G173">
        <v>0</v>
      </c>
      <c r="H173">
        <f t="shared" si="35"/>
        <v>1476.8</v>
      </c>
      <c r="I173">
        <f t="shared" si="36"/>
        <v>1478.3</v>
      </c>
      <c r="J173">
        <f t="shared" si="37"/>
        <v>1476.3</v>
      </c>
      <c r="K173">
        <f t="shared" si="38"/>
        <v>2</v>
      </c>
      <c r="L173">
        <f t="shared" si="39"/>
        <v>-0.20000000000004547</v>
      </c>
      <c r="M173" t="str">
        <f t="shared" si="40"/>
        <v>UP</v>
      </c>
      <c r="N173">
        <f t="shared" si="41"/>
        <v>0.90000000000009095</v>
      </c>
      <c r="O173">
        <f t="shared" si="42"/>
        <v>-1.8999999999998636</v>
      </c>
      <c r="P173">
        <f t="shared" si="43"/>
        <v>-2.5</v>
      </c>
      <c r="Q173">
        <f t="shared" si="44"/>
        <v>0.60000000000013642</v>
      </c>
      <c r="R173">
        <f t="shared" si="45"/>
        <v>1478.6399999999999</v>
      </c>
      <c r="S173">
        <f t="shared" si="46"/>
        <v>-0.25</v>
      </c>
      <c r="T173">
        <f t="shared" si="47"/>
        <v>1479.2779999999996</v>
      </c>
      <c r="U173">
        <f t="shared" si="48"/>
        <v>-0.13000000000010914</v>
      </c>
      <c r="V173">
        <f t="shared" si="49"/>
        <v>976.98899999999992</v>
      </c>
      <c r="W173">
        <f t="shared" si="50"/>
        <v>14.77699999999993</v>
      </c>
      <c r="X173">
        <f t="shared" si="51"/>
        <v>488.49449999999996</v>
      </c>
    </row>
    <row r="174" spans="1:24" x14ac:dyDescent="0.3">
      <c r="A174" t="s">
        <v>214</v>
      </c>
      <c r="B174">
        <v>1477.5</v>
      </c>
      <c r="C174">
        <v>1477.8</v>
      </c>
      <c r="D174">
        <v>1476.3</v>
      </c>
      <c r="E174">
        <v>1476.8</v>
      </c>
      <c r="F174">
        <v>11278</v>
      </c>
      <c r="G174">
        <v>0</v>
      </c>
      <c r="H174">
        <f t="shared" si="35"/>
        <v>1477.4</v>
      </c>
      <c r="I174">
        <f t="shared" si="36"/>
        <v>1477.8</v>
      </c>
      <c r="J174">
        <f t="shared" si="37"/>
        <v>1476.3</v>
      </c>
      <c r="K174">
        <f t="shared" si="38"/>
        <v>1.5</v>
      </c>
      <c r="L174">
        <f t="shared" si="39"/>
        <v>9.9999999999909051E-2</v>
      </c>
      <c r="M174" t="str">
        <f t="shared" si="40"/>
        <v>DOWN</v>
      </c>
      <c r="N174">
        <f t="shared" si="41"/>
        <v>-0.60000000000013642</v>
      </c>
      <c r="O174">
        <f t="shared" si="42"/>
        <v>-3.1000000000001364</v>
      </c>
      <c r="P174">
        <f t="shared" si="43"/>
        <v>-2.6000000000001364</v>
      </c>
      <c r="Q174">
        <f t="shared" si="44"/>
        <v>-0.29999999999995453</v>
      </c>
      <c r="R174">
        <f t="shared" si="45"/>
        <v>1478.8899999999999</v>
      </c>
      <c r="S174">
        <f t="shared" si="46"/>
        <v>-0.26000000000021828</v>
      </c>
      <c r="T174">
        <f t="shared" si="47"/>
        <v>1479.4079999999997</v>
      </c>
      <c r="U174">
        <f t="shared" si="48"/>
        <v>-9.6000000000003638E-2</v>
      </c>
      <c r="V174">
        <f t="shared" si="49"/>
        <v>962.21199999999999</v>
      </c>
      <c r="W174">
        <f t="shared" si="50"/>
        <v>14.768000000000029</v>
      </c>
      <c r="X174">
        <f t="shared" si="51"/>
        <v>481.10599999999999</v>
      </c>
    </row>
    <row r="175" spans="1:24" x14ac:dyDescent="0.3">
      <c r="A175" t="s">
        <v>215</v>
      </c>
      <c r="B175">
        <v>1478.3</v>
      </c>
      <c r="C175">
        <v>1478.4</v>
      </c>
      <c r="D175">
        <v>1477.1</v>
      </c>
      <c r="E175">
        <v>1477.4</v>
      </c>
      <c r="F175">
        <v>4037</v>
      </c>
      <c r="G175">
        <v>0</v>
      </c>
      <c r="H175">
        <f t="shared" si="35"/>
        <v>1477.9</v>
      </c>
      <c r="I175">
        <f t="shared" si="36"/>
        <v>1478.4</v>
      </c>
      <c r="J175">
        <f t="shared" si="37"/>
        <v>1477.1</v>
      </c>
      <c r="K175">
        <f t="shared" si="38"/>
        <v>1.3000000000001819</v>
      </c>
      <c r="L175">
        <f t="shared" si="39"/>
        <v>0.39999999999986358</v>
      </c>
      <c r="M175" t="str">
        <f t="shared" si="40"/>
        <v>DOWN</v>
      </c>
      <c r="N175">
        <f t="shared" si="41"/>
        <v>-0.5</v>
      </c>
      <c r="O175">
        <f t="shared" si="42"/>
        <v>-2.5999999999999091</v>
      </c>
      <c r="P175">
        <f t="shared" si="43"/>
        <v>-1</v>
      </c>
      <c r="Q175">
        <f t="shared" si="44"/>
        <v>0.3000000000001819</v>
      </c>
      <c r="R175">
        <f t="shared" si="45"/>
        <v>1479.15</v>
      </c>
      <c r="S175">
        <f t="shared" si="46"/>
        <v>-9.9999999999681677E-2</v>
      </c>
      <c r="T175">
        <f t="shared" si="47"/>
        <v>1479.5039999999997</v>
      </c>
      <c r="U175">
        <f t="shared" si="48"/>
        <v>-9.2000000000098225E-2</v>
      </c>
      <c r="V175">
        <f t="shared" si="49"/>
        <v>947.44399999999996</v>
      </c>
      <c r="W175">
        <f t="shared" si="50"/>
        <v>14.774000000000001</v>
      </c>
      <c r="X175">
        <f t="shared" si="51"/>
        <v>473.72199999999998</v>
      </c>
    </row>
    <row r="176" spans="1:24" x14ac:dyDescent="0.3">
      <c r="A176" t="s">
        <v>216</v>
      </c>
      <c r="B176">
        <v>1478.3</v>
      </c>
      <c r="C176">
        <v>1478.9</v>
      </c>
      <c r="D176">
        <v>1477.7</v>
      </c>
      <c r="E176">
        <v>1477.9</v>
      </c>
      <c r="F176">
        <v>8343</v>
      </c>
      <c r="G176">
        <v>0</v>
      </c>
      <c r="H176">
        <f t="shared" si="35"/>
        <v>1478.3</v>
      </c>
      <c r="I176">
        <f t="shared" si="36"/>
        <v>1478.9</v>
      </c>
      <c r="J176">
        <f t="shared" si="37"/>
        <v>1477.7</v>
      </c>
      <c r="K176">
        <f t="shared" si="38"/>
        <v>1.2000000000000455</v>
      </c>
      <c r="L176">
        <f t="shared" si="39"/>
        <v>0</v>
      </c>
      <c r="M176" t="str">
        <f t="shared" si="40"/>
        <v>DOWN</v>
      </c>
      <c r="N176">
        <f t="shared" si="41"/>
        <v>-0.39999999999986358</v>
      </c>
      <c r="O176">
        <f t="shared" si="42"/>
        <v>-2.0999999999999091</v>
      </c>
      <c r="P176">
        <f t="shared" si="43"/>
        <v>-1</v>
      </c>
      <c r="Q176">
        <f t="shared" si="44"/>
        <v>0.8000000000001819</v>
      </c>
      <c r="R176">
        <f t="shared" si="45"/>
        <v>1479.2499999999998</v>
      </c>
      <c r="S176">
        <f t="shared" si="46"/>
        <v>-0.10000000000013642</v>
      </c>
      <c r="T176">
        <f t="shared" si="47"/>
        <v>1479.5959999999998</v>
      </c>
      <c r="U176">
        <f t="shared" si="48"/>
        <v>-9.8000000000183718E-2</v>
      </c>
      <c r="V176">
        <f t="shared" si="49"/>
        <v>932.67</v>
      </c>
      <c r="W176">
        <f t="shared" si="50"/>
        <v>14.778999999999883</v>
      </c>
      <c r="X176">
        <f t="shared" si="51"/>
        <v>466.33499999999998</v>
      </c>
    </row>
    <row r="177" spans="1:24" x14ac:dyDescent="0.3">
      <c r="A177" t="s">
        <v>217</v>
      </c>
      <c r="B177">
        <v>1479.8</v>
      </c>
      <c r="C177">
        <v>1480.1</v>
      </c>
      <c r="D177">
        <v>1478.3</v>
      </c>
      <c r="E177">
        <v>1478.3</v>
      </c>
      <c r="F177">
        <v>3396</v>
      </c>
      <c r="G177">
        <v>0</v>
      </c>
      <c r="H177">
        <f t="shared" si="35"/>
        <v>1479.6</v>
      </c>
      <c r="I177">
        <f t="shared" si="36"/>
        <v>1480.1</v>
      </c>
      <c r="J177">
        <f t="shared" si="37"/>
        <v>1478.3</v>
      </c>
      <c r="K177">
        <f t="shared" si="38"/>
        <v>1.7999999999999545</v>
      </c>
      <c r="L177">
        <f t="shared" si="39"/>
        <v>0.20000000000004547</v>
      </c>
      <c r="M177" t="str">
        <f t="shared" si="40"/>
        <v>DOWN</v>
      </c>
      <c r="N177">
        <f t="shared" si="41"/>
        <v>-1.2999999999999545</v>
      </c>
      <c r="O177">
        <f t="shared" si="42"/>
        <v>-0.5</v>
      </c>
      <c r="P177">
        <f t="shared" si="43"/>
        <v>0.20000000000004547</v>
      </c>
      <c r="Q177">
        <f t="shared" si="44"/>
        <v>1.2000000000000455</v>
      </c>
      <c r="R177">
        <f t="shared" si="45"/>
        <v>1479.35</v>
      </c>
      <c r="S177">
        <f t="shared" si="46"/>
        <v>1.999999999998181E-2</v>
      </c>
      <c r="T177">
        <f t="shared" si="47"/>
        <v>1479.694</v>
      </c>
      <c r="U177">
        <f t="shared" si="48"/>
        <v>-0.10599999999976717</v>
      </c>
      <c r="V177">
        <f t="shared" si="49"/>
        <v>917.89100000000008</v>
      </c>
      <c r="W177">
        <f t="shared" si="50"/>
        <v>14.783000000000243</v>
      </c>
      <c r="X177">
        <f t="shared" si="51"/>
        <v>458.94550000000004</v>
      </c>
    </row>
    <row r="178" spans="1:24" x14ac:dyDescent="0.3">
      <c r="A178" t="s">
        <v>59</v>
      </c>
      <c r="B178">
        <v>1479.9</v>
      </c>
      <c r="C178">
        <v>1480.4</v>
      </c>
      <c r="D178">
        <v>1479.3</v>
      </c>
      <c r="E178">
        <v>1479.6</v>
      </c>
      <c r="F178">
        <v>3705</v>
      </c>
      <c r="G178">
        <v>0</v>
      </c>
      <c r="H178">
        <f t="shared" si="35"/>
        <v>1479.9</v>
      </c>
      <c r="I178">
        <f t="shared" si="36"/>
        <v>1480.4</v>
      </c>
      <c r="J178">
        <f t="shared" si="37"/>
        <v>1479.3</v>
      </c>
      <c r="K178">
        <f t="shared" si="38"/>
        <v>1.1000000000001364</v>
      </c>
      <c r="L178">
        <f t="shared" si="39"/>
        <v>0</v>
      </c>
      <c r="M178" t="str">
        <f t="shared" si="40"/>
        <v>DOWN</v>
      </c>
      <c r="N178">
        <f t="shared" si="41"/>
        <v>-0.3000000000001819</v>
      </c>
      <c r="O178">
        <f t="shared" si="42"/>
        <v>-0.60000000000013642</v>
      </c>
      <c r="P178">
        <f t="shared" si="43"/>
        <v>0</v>
      </c>
      <c r="Q178">
        <f t="shared" si="44"/>
        <v>2.5</v>
      </c>
      <c r="R178">
        <f t="shared" si="45"/>
        <v>1479.33</v>
      </c>
      <c r="S178">
        <f t="shared" si="46"/>
        <v>0</v>
      </c>
      <c r="T178">
        <f t="shared" si="47"/>
        <v>1479.7999999999997</v>
      </c>
      <c r="U178">
        <f t="shared" si="48"/>
        <v>-8.200000000010732E-2</v>
      </c>
      <c r="V178">
        <f t="shared" si="49"/>
        <v>903.10799999999983</v>
      </c>
      <c r="W178">
        <f t="shared" si="50"/>
        <v>14.795999999999822</v>
      </c>
      <c r="X178">
        <f t="shared" si="51"/>
        <v>451.55399999999992</v>
      </c>
    </row>
    <row r="179" spans="1:24" x14ac:dyDescent="0.3">
      <c r="A179" t="s">
        <v>218</v>
      </c>
      <c r="B179">
        <v>1480</v>
      </c>
      <c r="C179">
        <v>1480.3</v>
      </c>
      <c r="D179">
        <v>1479.2</v>
      </c>
      <c r="E179">
        <v>1479.9</v>
      </c>
      <c r="F179">
        <v>4226</v>
      </c>
      <c r="G179">
        <v>0</v>
      </c>
      <c r="H179">
        <f t="shared" si="35"/>
        <v>1480</v>
      </c>
      <c r="I179">
        <f t="shared" si="36"/>
        <v>1480.3</v>
      </c>
      <c r="J179">
        <f t="shared" si="37"/>
        <v>1479.2</v>
      </c>
      <c r="K179">
        <f t="shared" si="38"/>
        <v>1.0999999999999091</v>
      </c>
      <c r="L179">
        <f t="shared" si="39"/>
        <v>0</v>
      </c>
      <c r="M179" t="str">
        <f t="shared" si="40"/>
        <v>DOWN</v>
      </c>
      <c r="N179">
        <f t="shared" si="41"/>
        <v>-9.9999999999909051E-2</v>
      </c>
      <c r="O179">
        <f t="shared" si="42"/>
        <v>0.5</v>
      </c>
      <c r="P179">
        <f t="shared" si="43"/>
        <v>0.5</v>
      </c>
      <c r="Q179">
        <f t="shared" si="44"/>
        <v>2.8000000000001819</v>
      </c>
      <c r="R179">
        <f t="shared" si="45"/>
        <v>1479.33</v>
      </c>
      <c r="S179">
        <f t="shared" si="46"/>
        <v>4.9999999999954525E-2</v>
      </c>
      <c r="T179">
        <f t="shared" si="47"/>
        <v>1479.8819999999998</v>
      </c>
      <c r="U179">
        <f t="shared" si="48"/>
        <v>-6.7999999999983629E-2</v>
      </c>
      <c r="V179">
        <f t="shared" si="49"/>
        <v>888.31200000000001</v>
      </c>
      <c r="W179">
        <f t="shared" si="50"/>
        <v>14.799000000000092</v>
      </c>
      <c r="X179">
        <f t="shared" si="51"/>
        <v>444.15600000000001</v>
      </c>
    </row>
    <row r="180" spans="1:24" x14ac:dyDescent="0.3">
      <c r="A180" t="s">
        <v>219</v>
      </c>
      <c r="B180">
        <v>1479.8</v>
      </c>
      <c r="C180">
        <v>1480.4</v>
      </c>
      <c r="D180">
        <v>1479.5</v>
      </c>
      <c r="E180">
        <v>1480</v>
      </c>
      <c r="F180">
        <v>1522</v>
      </c>
      <c r="G180">
        <v>0</v>
      </c>
      <c r="H180">
        <f t="shared" si="35"/>
        <v>1480</v>
      </c>
      <c r="I180">
        <f t="shared" si="36"/>
        <v>1480.4</v>
      </c>
      <c r="J180">
        <f t="shared" si="37"/>
        <v>1479.5</v>
      </c>
      <c r="K180">
        <f t="shared" si="38"/>
        <v>0.90000000000009095</v>
      </c>
      <c r="L180">
        <f t="shared" si="39"/>
        <v>-0.20000000000004547</v>
      </c>
      <c r="M180" t="str">
        <f t="shared" si="40"/>
        <v>DOWN</v>
      </c>
      <c r="N180">
        <f t="shared" si="41"/>
        <v>0</v>
      </c>
      <c r="O180">
        <f t="shared" si="42"/>
        <v>1.5999999999999091</v>
      </c>
      <c r="P180">
        <f t="shared" si="43"/>
        <v>-0.5</v>
      </c>
      <c r="Q180">
        <f t="shared" si="44"/>
        <v>2.9000000000000909</v>
      </c>
      <c r="R180">
        <f t="shared" si="45"/>
        <v>1479.28</v>
      </c>
      <c r="S180">
        <f t="shared" si="46"/>
        <v>-4.9999999999954525E-2</v>
      </c>
      <c r="T180">
        <f t="shared" si="47"/>
        <v>1479.9499999999998</v>
      </c>
      <c r="U180">
        <f t="shared" si="48"/>
        <v>-9.9999999999909051E-2</v>
      </c>
      <c r="V180">
        <f t="shared" si="49"/>
        <v>873.51299999999992</v>
      </c>
      <c r="W180">
        <f t="shared" si="50"/>
        <v>14.800000000000068</v>
      </c>
      <c r="X180">
        <f t="shared" si="51"/>
        <v>436.75649999999996</v>
      </c>
    </row>
    <row r="181" spans="1:24" x14ac:dyDescent="0.3">
      <c r="A181" t="s">
        <v>220</v>
      </c>
      <c r="B181">
        <v>1479.5</v>
      </c>
      <c r="C181">
        <v>1480.4</v>
      </c>
      <c r="D181">
        <v>1479</v>
      </c>
      <c r="E181">
        <v>1480</v>
      </c>
      <c r="F181">
        <v>4219</v>
      </c>
      <c r="G181">
        <v>0</v>
      </c>
      <c r="H181">
        <f t="shared" si="35"/>
        <v>1478.8</v>
      </c>
      <c r="I181">
        <f t="shared" si="36"/>
        <v>1480.4</v>
      </c>
      <c r="J181">
        <f t="shared" si="37"/>
        <v>1478.8</v>
      </c>
      <c r="K181">
        <f t="shared" si="38"/>
        <v>1.6000000000001364</v>
      </c>
      <c r="L181">
        <f t="shared" si="39"/>
        <v>0.70000000000004547</v>
      </c>
      <c r="M181" t="str">
        <f t="shared" si="40"/>
        <v>UP</v>
      </c>
      <c r="N181">
        <f t="shared" si="41"/>
        <v>1.2000000000000455</v>
      </c>
      <c r="O181">
        <f t="shared" si="42"/>
        <v>1.0999999999999091</v>
      </c>
      <c r="P181">
        <f t="shared" si="43"/>
        <v>-1.2000000000000455</v>
      </c>
      <c r="Q181">
        <f t="shared" si="44"/>
        <v>2.9000000000000909</v>
      </c>
      <c r="R181">
        <f t="shared" si="45"/>
        <v>1479.33</v>
      </c>
      <c r="S181">
        <f t="shared" si="46"/>
        <v>-0.12000000000011823</v>
      </c>
      <c r="T181">
        <f t="shared" si="47"/>
        <v>1480.0499999999997</v>
      </c>
      <c r="U181">
        <f t="shared" si="48"/>
        <v>-9.6000000000003638E-2</v>
      </c>
      <c r="V181">
        <f t="shared" si="49"/>
        <v>858.71299999999985</v>
      </c>
      <c r="W181">
        <f t="shared" si="50"/>
        <v>14.799999999999955</v>
      </c>
      <c r="X181">
        <f t="shared" si="51"/>
        <v>429.35649999999993</v>
      </c>
    </row>
    <row r="182" spans="1:24" x14ac:dyDescent="0.3">
      <c r="A182" t="s">
        <v>221</v>
      </c>
      <c r="B182">
        <v>1480.2</v>
      </c>
      <c r="C182">
        <v>1480.5</v>
      </c>
      <c r="D182">
        <v>1478.7</v>
      </c>
      <c r="E182">
        <v>1478.8</v>
      </c>
      <c r="F182">
        <v>6715</v>
      </c>
      <c r="G182">
        <v>0</v>
      </c>
      <c r="H182">
        <f t="shared" si="35"/>
        <v>1480.2</v>
      </c>
      <c r="I182">
        <f t="shared" si="36"/>
        <v>1480.5</v>
      </c>
      <c r="J182">
        <f t="shared" si="37"/>
        <v>1478.7</v>
      </c>
      <c r="K182">
        <f t="shared" si="38"/>
        <v>1.7999999999999545</v>
      </c>
      <c r="L182">
        <f t="shared" si="39"/>
        <v>0</v>
      </c>
      <c r="M182" t="str">
        <f t="shared" si="40"/>
        <v>DOWN</v>
      </c>
      <c r="N182">
        <f t="shared" si="41"/>
        <v>-1.4000000000000909</v>
      </c>
      <c r="O182">
        <f t="shared" si="42"/>
        <v>0.70000000000004547</v>
      </c>
      <c r="P182">
        <f t="shared" si="43"/>
        <v>-2.2000000000000455</v>
      </c>
      <c r="Q182">
        <f t="shared" si="44"/>
        <v>1.7000000000000455</v>
      </c>
      <c r="R182">
        <f t="shared" si="45"/>
        <v>1479.45</v>
      </c>
      <c r="S182">
        <f t="shared" si="46"/>
        <v>-0.22000000000002728</v>
      </c>
      <c r="T182">
        <f t="shared" si="47"/>
        <v>1480.1459999999997</v>
      </c>
      <c r="U182">
        <f t="shared" si="48"/>
        <v>-9.7999999999956344E-2</v>
      </c>
      <c r="V182">
        <f t="shared" si="49"/>
        <v>843.9129999999999</v>
      </c>
      <c r="W182">
        <f t="shared" si="50"/>
        <v>14.788000000000011</v>
      </c>
      <c r="X182">
        <f t="shared" si="51"/>
        <v>421.95649999999995</v>
      </c>
    </row>
    <row r="183" spans="1:24" x14ac:dyDescent="0.3">
      <c r="A183" t="s">
        <v>60</v>
      </c>
      <c r="B183">
        <v>1479.4</v>
      </c>
      <c r="C183">
        <v>1480.2</v>
      </c>
      <c r="D183">
        <v>1479.3</v>
      </c>
      <c r="E183">
        <v>1480.2</v>
      </c>
      <c r="F183">
        <v>5445</v>
      </c>
      <c r="G183">
        <v>0</v>
      </c>
      <c r="H183">
        <f t="shared" si="35"/>
        <v>1479.4</v>
      </c>
      <c r="I183">
        <f t="shared" si="36"/>
        <v>1480.2</v>
      </c>
      <c r="J183">
        <f t="shared" si="37"/>
        <v>1479.3</v>
      </c>
      <c r="K183">
        <f t="shared" si="38"/>
        <v>0.90000000000009095</v>
      </c>
      <c r="L183">
        <f t="shared" si="39"/>
        <v>0</v>
      </c>
      <c r="M183" t="str">
        <f t="shared" si="40"/>
        <v>UP</v>
      </c>
      <c r="N183">
        <f t="shared" si="41"/>
        <v>0.79999999999995453</v>
      </c>
      <c r="O183">
        <f t="shared" si="42"/>
        <v>0.60000000000013642</v>
      </c>
      <c r="P183">
        <f t="shared" si="43"/>
        <v>0</v>
      </c>
      <c r="Q183">
        <f t="shared" si="44"/>
        <v>3.1000000000001364</v>
      </c>
      <c r="R183">
        <f t="shared" si="45"/>
        <v>1479.67</v>
      </c>
      <c r="S183">
        <f t="shared" si="46"/>
        <v>0</v>
      </c>
      <c r="T183">
        <f t="shared" si="47"/>
        <v>1480.2439999999997</v>
      </c>
      <c r="U183">
        <f t="shared" si="48"/>
        <v>-5.999999999994543E-2</v>
      </c>
      <c r="V183">
        <f t="shared" si="49"/>
        <v>829.12499999999989</v>
      </c>
      <c r="W183">
        <f t="shared" si="50"/>
        <v>14.802000000000021</v>
      </c>
      <c r="X183">
        <f t="shared" si="51"/>
        <v>414.56249999999994</v>
      </c>
    </row>
    <row r="184" spans="1:24" x14ac:dyDescent="0.3">
      <c r="A184" t="s">
        <v>222</v>
      </c>
      <c r="B184">
        <v>1478.8</v>
      </c>
      <c r="C184">
        <v>1479.4</v>
      </c>
      <c r="D184">
        <v>1477.5</v>
      </c>
      <c r="E184">
        <v>1479.4</v>
      </c>
      <c r="F184">
        <v>6347</v>
      </c>
      <c r="G184">
        <v>0</v>
      </c>
      <c r="H184">
        <f t="shared" si="35"/>
        <v>1478.4</v>
      </c>
      <c r="I184">
        <f t="shared" si="36"/>
        <v>1479.4</v>
      </c>
      <c r="J184">
        <f t="shared" si="37"/>
        <v>1477.5</v>
      </c>
      <c r="K184">
        <f t="shared" si="38"/>
        <v>1.9000000000000909</v>
      </c>
      <c r="L184">
        <f t="shared" si="39"/>
        <v>0.39999999999986358</v>
      </c>
      <c r="M184" t="str">
        <f t="shared" si="40"/>
        <v>UP</v>
      </c>
      <c r="N184">
        <f t="shared" si="41"/>
        <v>1</v>
      </c>
      <c r="O184">
        <f t="shared" si="42"/>
        <v>0</v>
      </c>
      <c r="P184">
        <f t="shared" si="43"/>
        <v>-1.1999999999998181</v>
      </c>
      <c r="Q184">
        <f t="shared" si="44"/>
        <v>2.3000000000001819</v>
      </c>
      <c r="R184">
        <f t="shared" si="45"/>
        <v>1479.6700000000003</v>
      </c>
      <c r="S184">
        <f t="shared" si="46"/>
        <v>-0.11999999999989086</v>
      </c>
      <c r="T184">
        <f t="shared" si="47"/>
        <v>1480.3039999999996</v>
      </c>
      <c r="U184">
        <f t="shared" si="48"/>
        <v>-0.14599999999973079</v>
      </c>
      <c r="V184">
        <f t="shared" si="49"/>
        <v>814.32299999999987</v>
      </c>
      <c r="W184">
        <f t="shared" si="50"/>
        <v>14.794000000000096</v>
      </c>
      <c r="X184">
        <f t="shared" si="51"/>
        <v>407.16149999999993</v>
      </c>
    </row>
    <row r="185" spans="1:24" x14ac:dyDescent="0.3">
      <c r="A185" t="s">
        <v>223</v>
      </c>
      <c r="B185">
        <v>1478.6</v>
      </c>
      <c r="C185">
        <v>1479.6</v>
      </c>
      <c r="D185">
        <v>1477.5</v>
      </c>
      <c r="E185">
        <v>1478.4</v>
      </c>
      <c r="F185">
        <v>5157</v>
      </c>
      <c r="G185">
        <v>0</v>
      </c>
      <c r="H185">
        <f t="shared" si="35"/>
        <v>1478.9</v>
      </c>
      <c r="I185">
        <f t="shared" si="36"/>
        <v>1479.6</v>
      </c>
      <c r="J185">
        <f t="shared" si="37"/>
        <v>1477.5</v>
      </c>
      <c r="K185">
        <f t="shared" si="38"/>
        <v>2.0999999999999091</v>
      </c>
      <c r="L185">
        <f t="shared" si="39"/>
        <v>-0.3000000000001819</v>
      </c>
      <c r="M185" t="str">
        <f t="shared" si="40"/>
        <v>DOWN</v>
      </c>
      <c r="N185">
        <f t="shared" si="41"/>
        <v>-0.5</v>
      </c>
      <c r="O185">
        <f t="shared" si="42"/>
        <v>-2.0999999999999091</v>
      </c>
      <c r="P185">
        <f t="shared" si="43"/>
        <v>-0.89999999999986358</v>
      </c>
      <c r="Q185">
        <f t="shared" si="44"/>
        <v>1.3000000000001819</v>
      </c>
      <c r="R185">
        <f t="shared" si="45"/>
        <v>1479.7900000000002</v>
      </c>
      <c r="S185">
        <f t="shared" si="46"/>
        <v>-8.9999999999918145E-2</v>
      </c>
      <c r="T185">
        <f t="shared" si="47"/>
        <v>1480.4499999999994</v>
      </c>
      <c r="U185">
        <f t="shared" si="48"/>
        <v>-8.40000000002874E-2</v>
      </c>
      <c r="V185">
        <f t="shared" si="49"/>
        <v>799.52899999999977</v>
      </c>
      <c r="W185">
        <f t="shared" si="50"/>
        <v>14.783999999999878</v>
      </c>
      <c r="X185">
        <f t="shared" si="51"/>
        <v>399.76449999999988</v>
      </c>
    </row>
    <row r="186" spans="1:24" x14ac:dyDescent="0.3">
      <c r="A186" t="s">
        <v>224</v>
      </c>
      <c r="B186">
        <v>1477.4</v>
      </c>
      <c r="C186">
        <v>1479</v>
      </c>
      <c r="D186">
        <v>1477.3</v>
      </c>
      <c r="E186">
        <v>1478.9</v>
      </c>
      <c r="F186">
        <v>5767</v>
      </c>
      <c r="G186">
        <v>0</v>
      </c>
      <c r="H186">
        <f t="shared" si="35"/>
        <v>1478.1</v>
      </c>
      <c r="I186">
        <f t="shared" si="36"/>
        <v>1479</v>
      </c>
      <c r="J186">
        <f t="shared" si="37"/>
        <v>1477.3</v>
      </c>
      <c r="K186">
        <f t="shared" si="38"/>
        <v>1.7000000000000455</v>
      </c>
      <c r="L186">
        <f t="shared" si="39"/>
        <v>-0.6999999999998181</v>
      </c>
      <c r="M186" t="str">
        <f t="shared" si="40"/>
        <v>UP</v>
      </c>
      <c r="N186">
        <f t="shared" si="41"/>
        <v>0.8000000000001819</v>
      </c>
      <c r="O186">
        <f t="shared" si="42"/>
        <v>-2.2999999999999545</v>
      </c>
      <c r="P186">
        <f t="shared" si="43"/>
        <v>-0.59999999999990905</v>
      </c>
      <c r="Q186">
        <f t="shared" si="44"/>
        <v>1.8000000000001819</v>
      </c>
      <c r="R186">
        <f t="shared" si="45"/>
        <v>1479.88</v>
      </c>
      <c r="S186">
        <f t="shared" si="46"/>
        <v>-5.999999999994543E-2</v>
      </c>
      <c r="T186">
        <f t="shared" si="47"/>
        <v>1480.5339999999997</v>
      </c>
      <c r="U186">
        <f t="shared" si="48"/>
        <v>-5.5999999999812644E-2</v>
      </c>
      <c r="V186">
        <f t="shared" si="49"/>
        <v>784.74499999999989</v>
      </c>
      <c r="W186">
        <f t="shared" si="50"/>
        <v>14.789000000000101</v>
      </c>
      <c r="X186">
        <f t="shared" si="51"/>
        <v>392.37249999999995</v>
      </c>
    </row>
    <row r="187" spans="1:24" x14ac:dyDescent="0.3">
      <c r="A187" t="s">
        <v>225</v>
      </c>
      <c r="B187">
        <v>1479.6</v>
      </c>
      <c r="C187">
        <v>1479.7</v>
      </c>
      <c r="D187">
        <v>1477.4</v>
      </c>
      <c r="E187">
        <v>1478.1</v>
      </c>
      <c r="F187">
        <v>16750</v>
      </c>
      <c r="G187">
        <v>0</v>
      </c>
      <c r="H187">
        <f t="shared" si="35"/>
        <v>1479.6</v>
      </c>
      <c r="I187">
        <f t="shared" si="36"/>
        <v>1479.7</v>
      </c>
      <c r="J187">
        <f t="shared" si="37"/>
        <v>1477.4</v>
      </c>
      <c r="K187">
        <f t="shared" si="38"/>
        <v>2.2999999999999545</v>
      </c>
      <c r="L187">
        <f t="shared" si="39"/>
        <v>0</v>
      </c>
      <c r="M187" t="str">
        <f t="shared" si="40"/>
        <v>DOWN</v>
      </c>
      <c r="N187">
        <f t="shared" si="41"/>
        <v>-1.5</v>
      </c>
      <c r="O187">
        <f t="shared" si="42"/>
        <v>-2.9000000000000909</v>
      </c>
      <c r="P187">
        <f t="shared" si="43"/>
        <v>-0.40000000000009095</v>
      </c>
      <c r="Q187">
        <f t="shared" si="44"/>
        <v>1</v>
      </c>
      <c r="R187">
        <f t="shared" si="45"/>
        <v>1479.94</v>
      </c>
      <c r="S187">
        <f t="shared" si="46"/>
        <v>-3.999999999996362E-2</v>
      </c>
      <c r="T187">
        <f t="shared" si="47"/>
        <v>1480.5899999999995</v>
      </c>
      <c r="U187">
        <f t="shared" si="48"/>
        <v>-8.40000000002874E-2</v>
      </c>
      <c r="V187">
        <f t="shared" si="49"/>
        <v>769.95599999999979</v>
      </c>
      <c r="W187">
        <f t="shared" si="50"/>
        <v>14.780999999999949</v>
      </c>
      <c r="X187">
        <f t="shared" si="51"/>
        <v>384.97799999999989</v>
      </c>
    </row>
    <row r="188" spans="1:24" x14ac:dyDescent="0.3">
      <c r="A188" t="s">
        <v>61</v>
      </c>
      <c r="B188">
        <v>1479</v>
      </c>
      <c r="C188">
        <v>1480.5</v>
      </c>
      <c r="D188">
        <v>1479</v>
      </c>
      <c r="E188">
        <v>1479.6</v>
      </c>
      <c r="F188">
        <v>14176</v>
      </c>
      <c r="G188">
        <v>0</v>
      </c>
      <c r="H188">
        <f t="shared" si="35"/>
        <v>1479.4</v>
      </c>
      <c r="I188">
        <f t="shared" si="36"/>
        <v>1480.5</v>
      </c>
      <c r="J188">
        <f t="shared" si="37"/>
        <v>1479</v>
      </c>
      <c r="K188">
        <f t="shared" si="38"/>
        <v>1.5</v>
      </c>
      <c r="L188">
        <f t="shared" si="39"/>
        <v>-0.40000000000009095</v>
      </c>
      <c r="M188" t="str">
        <f t="shared" si="40"/>
        <v>UP</v>
      </c>
      <c r="N188">
        <f t="shared" si="41"/>
        <v>0.1999999999998181</v>
      </c>
      <c r="O188">
        <f t="shared" si="42"/>
        <v>-0.60000000000013642</v>
      </c>
      <c r="P188">
        <f t="shared" si="43"/>
        <v>0.6999999999998181</v>
      </c>
      <c r="Q188">
        <f t="shared" si="44"/>
        <v>2.5</v>
      </c>
      <c r="R188">
        <f t="shared" si="45"/>
        <v>1479.98</v>
      </c>
      <c r="S188">
        <f t="shared" si="46"/>
        <v>7.0000000000163709E-2</v>
      </c>
      <c r="T188">
        <f t="shared" si="47"/>
        <v>1480.6739999999998</v>
      </c>
      <c r="U188">
        <f t="shared" si="48"/>
        <v>-8.4000000000060027E-2</v>
      </c>
      <c r="V188">
        <f t="shared" si="49"/>
        <v>755.17499999999984</v>
      </c>
      <c r="W188">
        <f t="shared" si="50"/>
        <v>14.795999999999935</v>
      </c>
      <c r="X188">
        <f t="shared" si="51"/>
        <v>377.58749999999992</v>
      </c>
    </row>
    <row r="189" spans="1:24" x14ac:dyDescent="0.3">
      <c r="A189" t="s">
        <v>226</v>
      </c>
      <c r="B189">
        <v>1480</v>
      </c>
      <c r="C189">
        <v>1480.4</v>
      </c>
      <c r="D189">
        <v>1479</v>
      </c>
      <c r="E189">
        <v>1479.4</v>
      </c>
      <c r="F189">
        <v>7890</v>
      </c>
      <c r="G189">
        <v>0</v>
      </c>
      <c r="H189">
        <f t="shared" si="35"/>
        <v>1480.5</v>
      </c>
      <c r="I189">
        <f t="shared" si="36"/>
        <v>1480.5</v>
      </c>
      <c r="J189">
        <f t="shared" si="37"/>
        <v>1479</v>
      </c>
      <c r="K189">
        <f t="shared" si="38"/>
        <v>1.5</v>
      </c>
      <c r="L189">
        <f t="shared" si="39"/>
        <v>-0.5</v>
      </c>
      <c r="M189" t="str">
        <f t="shared" si="40"/>
        <v>DOWN</v>
      </c>
      <c r="N189">
        <f t="shared" si="41"/>
        <v>-1.0999999999999091</v>
      </c>
      <c r="O189">
        <f t="shared" si="42"/>
        <v>-1.1999999999998181</v>
      </c>
      <c r="P189">
        <f t="shared" si="43"/>
        <v>1.3000000000001819</v>
      </c>
      <c r="Q189">
        <f t="shared" si="44"/>
        <v>2.3000000000001819</v>
      </c>
      <c r="R189">
        <f t="shared" si="45"/>
        <v>1479.9099999999999</v>
      </c>
      <c r="S189">
        <f t="shared" si="46"/>
        <v>0.12999999999988177</v>
      </c>
      <c r="T189">
        <f t="shared" si="47"/>
        <v>1480.7579999999998</v>
      </c>
      <c r="U189">
        <f t="shared" si="48"/>
        <v>29.587999999999738</v>
      </c>
      <c r="V189">
        <f t="shared" si="49"/>
        <v>740.37899999999991</v>
      </c>
      <c r="W189">
        <f t="shared" si="50"/>
        <v>14.793999999999869</v>
      </c>
      <c r="X189">
        <f t="shared" si="51"/>
        <v>370.18949999999995</v>
      </c>
    </row>
    <row r="190" spans="1:24" x14ac:dyDescent="0.3">
      <c r="A190" t="s">
        <v>227</v>
      </c>
      <c r="B190">
        <v>1481.3</v>
      </c>
      <c r="C190">
        <v>1481.4</v>
      </c>
      <c r="D190">
        <v>1480.1</v>
      </c>
      <c r="E190">
        <v>1480.5</v>
      </c>
      <c r="F190">
        <v>4225</v>
      </c>
      <c r="G190">
        <v>0</v>
      </c>
      <c r="H190">
        <f t="shared" si="35"/>
        <v>1481.2</v>
      </c>
      <c r="I190">
        <f t="shared" si="36"/>
        <v>1481.4</v>
      </c>
      <c r="J190">
        <f t="shared" si="37"/>
        <v>1480.1</v>
      </c>
      <c r="K190">
        <f t="shared" si="38"/>
        <v>1.3000000000001819</v>
      </c>
      <c r="L190">
        <f t="shared" si="39"/>
        <v>9.9999999999909051E-2</v>
      </c>
      <c r="M190" t="str">
        <f t="shared" si="40"/>
        <v>DOWN</v>
      </c>
      <c r="N190">
        <f t="shared" si="41"/>
        <v>-0.70000000000004547</v>
      </c>
      <c r="O190">
        <f t="shared" si="42"/>
        <v>1.2000000000000455</v>
      </c>
      <c r="P190">
        <f t="shared" si="43"/>
        <v>2.2999999999999545</v>
      </c>
      <c r="Q190">
        <f t="shared" si="44"/>
        <v>3.4000000000000909</v>
      </c>
      <c r="R190">
        <f t="shared" si="45"/>
        <v>1479.78</v>
      </c>
      <c r="S190">
        <f t="shared" si="46"/>
        <v>0.23000000000001819</v>
      </c>
      <c r="T190">
        <f t="shared" si="47"/>
        <v>1451.17</v>
      </c>
      <c r="U190">
        <f t="shared" si="48"/>
        <v>29.610000000000355</v>
      </c>
      <c r="V190">
        <f t="shared" si="49"/>
        <v>725.58500000000004</v>
      </c>
      <c r="W190">
        <f t="shared" si="50"/>
        <v>14.805000000000177</v>
      </c>
      <c r="X190">
        <f t="shared" si="51"/>
        <v>362.79250000000002</v>
      </c>
    </row>
    <row r="191" spans="1:24" x14ac:dyDescent="0.3">
      <c r="A191" t="s">
        <v>228</v>
      </c>
      <c r="B191">
        <v>1480.9</v>
      </c>
      <c r="C191">
        <v>1481.3</v>
      </c>
      <c r="D191">
        <v>1480.2</v>
      </c>
      <c r="E191">
        <v>1481.2</v>
      </c>
      <c r="F191">
        <v>2941</v>
      </c>
      <c r="G191">
        <v>0</v>
      </c>
      <c r="H191">
        <f t="shared" si="35"/>
        <v>1481</v>
      </c>
      <c r="I191">
        <f t="shared" si="36"/>
        <v>1481.3</v>
      </c>
      <c r="J191">
        <f t="shared" si="37"/>
        <v>1480.2</v>
      </c>
      <c r="K191">
        <f t="shared" si="38"/>
        <v>1.0999999999999091</v>
      </c>
      <c r="L191">
        <f t="shared" si="39"/>
        <v>-9.9999999999909051E-2</v>
      </c>
      <c r="M191" t="str">
        <f t="shared" si="40"/>
        <v>UP</v>
      </c>
      <c r="N191">
        <f t="shared" si="41"/>
        <v>0.20000000000004547</v>
      </c>
      <c r="O191">
        <f t="shared" si="42"/>
        <v>1.7000000000000455</v>
      </c>
      <c r="P191">
        <f t="shared" si="43"/>
        <v>3.7999999999999545</v>
      </c>
      <c r="Q191">
        <f t="shared" si="44"/>
        <v>4.1000000000001364</v>
      </c>
      <c r="R191">
        <f t="shared" si="45"/>
        <v>1479.55</v>
      </c>
      <c r="S191">
        <f t="shared" si="46"/>
        <v>0.38000000000010914</v>
      </c>
      <c r="T191">
        <f t="shared" si="47"/>
        <v>1421.5599999999997</v>
      </c>
      <c r="U191">
        <f t="shared" si="48"/>
        <v>29.624000000000024</v>
      </c>
      <c r="V191">
        <f t="shared" si="49"/>
        <v>710.77999999999986</v>
      </c>
      <c r="W191">
        <f t="shared" si="50"/>
        <v>14.812000000000012</v>
      </c>
      <c r="X191">
        <f t="shared" si="51"/>
        <v>355.38999999999993</v>
      </c>
    </row>
    <row r="192" spans="1:24" x14ac:dyDescent="0.3">
      <c r="A192" t="s">
        <v>229</v>
      </c>
      <c r="B192">
        <v>1480.2</v>
      </c>
      <c r="C192">
        <v>1481</v>
      </c>
      <c r="D192">
        <v>1480.1</v>
      </c>
      <c r="E192">
        <v>1481</v>
      </c>
      <c r="F192">
        <v>2699</v>
      </c>
      <c r="G192">
        <v>0</v>
      </c>
      <c r="H192">
        <f t="shared" si="35"/>
        <v>1480.2</v>
      </c>
      <c r="I192">
        <f t="shared" si="36"/>
        <v>1481</v>
      </c>
      <c r="J192">
        <f t="shared" si="37"/>
        <v>1480.1</v>
      </c>
      <c r="K192">
        <f t="shared" si="38"/>
        <v>0.90000000000009095</v>
      </c>
      <c r="L192">
        <f t="shared" si="39"/>
        <v>0</v>
      </c>
      <c r="M192" t="str">
        <f t="shared" si="40"/>
        <v>UP</v>
      </c>
      <c r="N192">
        <f t="shared" si="41"/>
        <v>0.79999999999995453</v>
      </c>
      <c r="O192">
        <f t="shared" si="42"/>
        <v>2.5</v>
      </c>
      <c r="P192">
        <f t="shared" si="43"/>
        <v>3.9000000000000909</v>
      </c>
      <c r="Q192">
        <f t="shared" si="44"/>
        <v>3.9000000000000909</v>
      </c>
      <c r="R192">
        <f t="shared" si="45"/>
        <v>1479.1699999999998</v>
      </c>
      <c r="S192">
        <f t="shared" si="46"/>
        <v>0.3899999999996453</v>
      </c>
      <c r="T192">
        <f t="shared" si="47"/>
        <v>1391.9359999999997</v>
      </c>
      <c r="U192">
        <f t="shared" si="48"/>
        <v>29.620000000000118</v>
      </c>
      <c r="V192">
        <f t="shared" si="49"/>
        <v>695.96799999999985</v>
      </c>
      <c r="W192">
        <f t="shared" si="50"/>
        <v>14.810000000000059</v>
      </c>
      <c r="X192">
        <f t="shared" si="51"/>
        <v>347.98399999999992</v>
      </c>
    </row>
    <row r="193" spans="1:24" x14ac:dyDescent="0.3">
      <c r="A193" t="s">
        <v>62</v>
      </c>
      <c r="B193">
        <v>1480</v>
      </c>
      <c r="C193">
        <v>1481.3</v>
      </c>
      <c r="D193">
        <v>1480</v>
      </c>
      <c r="E193">
        <v>1480.2</v>
      </c>
      <c r="F193">
        <v>7723</v>
      </c>
      <c r="G193">
        <v>0</v>
      </c>
      <c r="H193">
        <f t="shared" si="35"/>
        <v>1480.6</v>
      </c>
      <c r="I193">
        <f t="shared" si="36"/>
        <v>1481.3</v>
      </c>
      <c r="J193">
        <f t="shared" si="37"/>
        <v>1480</v>
      </c>
      <c r="K193">
        <f t="shared" si="38"/>
        <v>1.2999999999999545</v>
      </c>
      <c r="L193">
        <f t="shared" si="39"/>
        <v>-0.59999999999990905</v>
      </c>
      <c r="M193" t="str">
        <f t="shared" si="40"/>
        <v>DOWN</v>
      </c>
      <c r="N193">
        <f t="shared" si="41"/>
        <v>-0.39999999999986358</v>
      </c>
      <c r="O193">
        <f t="shared" si="42"/>
        <v>1.2999999999999545</v>
      </c>
      <c r="P193">
        <f t="shared" si="43"/>
        <v>3.1000000000001364</v>
      </c>
      <c r="Q193">
        <f t="shared" si="44"/>
        <v>3.1000000000001364</v>
      </c>
      <c r="R193">
        <f t="shared" si="45"/>
        <v>1478.7800000000002</v>
      </c>
      <c r="S193">
        <f t="shared" si="46"/>
        <v>0.37000000000011823</v>
      </c>
      <c r="T193">
        <f t="shared" si="47"/>
        <v>1362.3159999999996</v>
      </c>
      <c r="U193">
        <f t="shared" si="48"/>
        <v>29.604000000000042</v>
      </c>
      <c r="V193">
        <f t="shared" si="49"/>
        <v>681.15799999999979</v>
      </c>
      <c r="W193">
        <f t="shared" si="50"/>
        <v>14.802000000000021</v>
      </c>
      <c r="X193">
        <f t="shared" si="51"/>
        <v>340.57899999999989</v>
      </c>
    </row>
    <row r="194" spans="1:24" x14ac:dyDescent="0.3">
      <c r="A194" t="s">
        <v>230</v>
      </c>
      <c r="B194">
        <v>1479.4</v>
      </c>
      <c r="C194">
        <v>1480.6</v>
      </c>
      <c r="D194">
        <v>1479.1</v>
      </c>
      <c r="E194">
        <v>1480.6</v>
      </c>
      <c r="F194">
        <v>9044</v>
      </c>
      <c r="G194">
        <v>0</v>
      </c>
      <c r="H194">
        <f t="shared" ref="H194:H201" si="52">E195</f>
        <v>1479.3</v>
      </c>
      <c r="I194">
        <f t="shared" ref="I194:I201" si="53">MAX(C194,H194)</f>
        <v>1480.6</v>
      </c>
      <c r="J194">
        <f t="shared" ref="J194:J201" si="54">MIN(D194,H194)</f>
        <v>1479.1</v>
      </c>
      <c r="K194">
        <f t="shared" ref="K194:K201" si="55">I194-J194</f>
        <v>1.5</v>
      </c>
      <c r="L194">
        <f t="shared" ref="L194:L201" si="56">B194-E195</f>
        <v>0.10000000000013642</v>
      </c>
      <c r="M194" t="str">
        <f t="shared" ref="M194:M201" si="57">IF(E194&gt;E195,"UP","DOWN")</f>
        <v>UP</v>
      </c>
      <c r="N194">
        <f t="shared" ref="N194:N201" si="58">E194-E195</f>
        <v>1.2999999999999545</v>
      </c>
      <c r="O194">
        <f t="shared" ref="O194:O257" si="59">SUM(N194:N198)</f>
        <v>2.5</v>
      </c>
      <c r="P194">
        <f t="shared" ref="P194:P257" si="60">SUM(N194:N203)</f>
        <v>3.5</v>
      </c>
      <c r="Q194">
        <f t="shared" ref="Q194:Q201" si="61">SUM(N194:N243)</f>
        <v>3.5</v>
      </c>
      <c r="R194">
        <f t="shared" ref="R194:R257" si="62">SUM(E194:E203)/10</f>
        <v>1478.41</v>
      </c>
      <c r="S194">
        <f t="shared" ref="S194:S257" si="63">R194-R195</f>
        <v>0.35999999999989996</v>
      </c>
      <c r="T194">
        <f t="shared" ref="T194:T257" si="64">SUM(E194:E243)/50</f>
        <v>1332.7119999999995</v>
      </c>
      <c r="U194">
        <f t="shared" ref="U194:U257" si="65">T194-T195</f>
        <v>29.611999999999853</v>
      </c>
      <c r="V194">
        <f t="shared" ref="V194:V201" si="66">SUM(E194:E293)/100</f>
        <v>666.35599999999977</v>
      </c>
      <c r="W194">
        <f t="shared" ref="W194:W201" si="67">V194-V195</f>
        <v>14.805999999999926</v>
      </c>
      <c r="X194">
        <f t="shared" ref="X194:X201" si="68">SUM(E194:E393)/200</f>
        <v>333.17799999999988</v>
      </c>
    </row>
    <row r="195" spans="1:24" x14ac:dyDescent="0.3">
      <c r="A195" t="s">
        <v>231</v>
      </c>
      <c r="B195">
        <v>1480</v>
      </c>
      <c r="C195">
        <v>1480</v>
      </c>
      <c r="D195">
        <v>1479.3</v>
      </c>
      <c r="E195">
        <v>1479.3</v>
      </c>
      <c r="F195">
        <v>3360</v>
      </c>
      <c r="G195">
        <v>0</v>
      </c>
      <c r="H195">
        <f t="shared" si="52"/>
        <v>1479.5</v>
      </c>
      <c r="I195">
        <f t="shared" si="53"/>
        <v>1480</v>
      </c>
      <c r="J195">
        <f t="shared" si="54"/>
        <v>1479.3</v>
      </c>
      <c r="K195">
        <f t="shared" si="55"/>
        <v>0.70000000000004547</v>
      </c>
      <c r="L195">
        <f t="shared" si="56"/>
        <v>0.5</v>
      </c>
      <c r="M195" t="str">
        <f t="shared" si="57"/>
        <v>DOWN</v>
      </c>
      <c r="N195">
        <f t="shared" si="58"/>
        <v>-0.20000000000004547</v>
      </c>
      <c r="O195">
        <f t="shared" si="59"/>
        <v>1.0999999999999091</v>
      </c>
      <c r="P195">
        <f t="shared" si="60"/>
        <v>2.2000000000000455</v>
      </c>
      <c r="Q195">
        <f t="shared" si="61"/>
        <v>2.2000000000000455</v>
      </c>
      <c r="R195">
        <f t="shared" si="62"/>
        <v>1478.0500000000002</v>
      </c>
      <c r="S195">
        <f t="shared" si="63"/>
        <v>0.16000000000008185</v>
      </c>
      <c r="T195">
        <f t="shared" si="64"/>
        <v>1303.0999999999997</v>
      </c>
      <c r="U195">
        <f t="shared" si="65"/>
        <v>29.586000000000013</v>
      </c>
      <c r="V195">
        <f t="shared" si="66"/>
        <v>651.54999999999984</v>
      </c>
      <c r="W195">
        <f t="shared" si="67"/>
        <v>14.793000000000006</v>
      </c>
      <c r="X195">
        <f t="shared" si="68"/>
        <v>325.77499999999992</v>
      </c>
    </row>
    <row r="196" spans="1:24" x14ac:dyDescent="0.3">
      <c r="A196" t="s">
        <v>232</v>
      </c>
      <c r="B196">
        <v>1478.8</v>
      </c>
      <c r="C196">
        <v>1480</v>
      </c>
      <c r="D196">
        <v>1478.3</v>
      </c>
      <c r="E196">
        <v>1479.5</v>
      </c>
      <c r="F196">
        <v>5550</v>
      </c>
      <c r="G196">
        <v>0</v>
      </c>
      <c r="H196">
        <f t="shared" si="52"/>
        <v>1478.5</v>
      </c>
      <c r="I196">
        <f t="shared" si="53"/>
        <v>1480</v>
      </c>
      <c r="J196">
        <f t="shared" si="54"/>
        <v>1478.3</v>
      </c>
      <c r="K196">
        <f t="shared" si="55"/>
        <v>1.7000000000000455</v>
      </c>
      <c r="L196">
        <f t="shared" si="56"/>
        <v>0.29999999999995453</v>
      </c>
      <c r="M196" t="str">
        <f t="shared" si="57"/>
        <v>UP</v>
      </c>
      <c r="N196">
        <f t="shared" si="58"/>
        <v>1</v>
      </c>
      <c r="O196">
        <f t="shared" si="59"/>
        <v>2.0999999999999091</v>
      </c>
      <c r="P196">
        <f t="shared" si="60"/>
        <v>2.4000000000000909</v>
      </c>
      <c r="Q196">
        <f t="shared" si="61"/>
        <v>2.4000000000000909</v>
      </c>
      <c r="R196">
        <f t="shared" si="62"/>
        <v>1477.89</v>
      </c>
      <c r="S196">
        <f t="shared" si="63"/>
        <v>0.12999999999988177</v>
      </c>
      <c r="T196">
        <f t="shared" si="64"/>
        <v>1273.5139999999997</v>
      </c>
      <c r="U196">
        <f t="shared" si="65"/>
        <v>29.589999999999918</v>
      </c>
      <c r="V196">
        <f t="shared" si="66"/>
        <v>636.75699999999983</v>
      </c>
      <c r="W196">
        <f t="shared" si="67"/>
        <v>14.794999999999959</v>
      </c>
      <c r="X196">
        <f t="shared" si="68"/>
        <v>318.37849999999992</v>
      </c>
    </row>
    <row r="197" spans="1:24" x14ac:dyDescent="0.3">
      <c r="A197" t="s">
        <v>233</v>
      </c>
      <c r="B197">
        <v>1478.9</v>
      </c>
      <c r="C197">
        <v>1479.6</v>
      </c>
      <c r="D197">
        <v>1478.2</v>
      </c>
      <c r="E197">
        <v>1478.5</v>
      </c>
      <c r="F197">
        <v>4860</v>
      </c>
      <c r="G197">
        <v>0</v>
      </c>
      <c r="H197">
        <f t="shared" si="52"/>
        <v>1478.9</v>
      </c>
      <c r="I197">
        <f t="shared" si="53"/>
        <v>1479.6</v>
      </c>
      <c r="J197">
        <f t="shared" si="54"/>
        <v>1478.2</v>
      </c>
      <c r="K197">
        <f t="shared" si="55"/>
        <v>1.3999999999998636</v>
      </c>
      <c r="L197">
        <f t="shared" si="56"/>
        <v>0</v>
      </c>
      <c r="M197" t="str">
        <f t="shared" si="57"/>
        <v>DOWN</v>
      </c>
      <c r="N197">
        <f t="shared" si="58"/>
        <v>-0.40000000000009095</v>
      </c>
      <c r="O197">
        <f t="shared" si="59"/>
        <v>1.4000000000000909</v>
      </c>
      <c r="P197">
        <f t="shared" si="60"/>
        <v>1.4000000000000909</v>
      </c>
      <c r="Q197">
        <f t="shared" si="61"/>
        <v>1.4000000000000909</v>
      </c>
      <c r="R197">
        <f t="shared" si="62"/>
        <v>1477.7600000000002</v>
      </c>
      <c r="S197">
        <f t="shared" si="63"/>
        <v>8.9999999999918145E-2</v>
      </c>
      <c r="T197">
        <f t="shared" si="64"/>
        <v>1243.9239999999998</v>
      </c>
      <c r="U197">
        <f t="shared" si="65"/>
        <v>29.569999999999936</v>
      </c>
      <c r="V197">
        <f t="shared" si="66"/>
        <v>621.96199999999988</v>
      </c>
      <c r="W197">
        <f t="shared" si="67"/>
        <v>14.784999999999968</v>
      </c>
      <c r="X197">
        <f t="shared" si="68"/>
        <v>310.98099999999994</v>
      </c>
    </row>
    <row r="198" spans="1:24" x14ac:dyDescent="0.3">
      <c r="A198" t="s">
        <v>63</v>
      </c>
      <c r="B198">
        <v>1478.1</v>
      </c>
      <c r="C198">
        <v>1479.6</v>
      </c>
      <c r="D198">
        <v>1477.7</v>
      </c>
      <c r="E198">
        <v>1478.9</v>
      </c>
      <c r="F198">
        <v>6658</v>
      </c>
      <c r="G198">
        <v>0</v>
      </c>
      <c r="H198">
        <f t="shared" si="52"/>
        <v>1478.1</v>
      </c>
      <c r="I198">
        <f t="shared" si="53"/>
        <v>1479.6</v>
      </c>
      <c r="J198">
        <f t="shared" si="54"/>
        <v>1477.7</v>
      </c>
      <c r="K198">
        <f t="shared" si="55"/>
        <v>1.8999999999998636</v>
      </c>
      <c r="L198">
        <f t="shared" si="56"/>
        <v>0</v>
      </c>
      <c r="M198" t="str">
        <f t="shared" si="57"/>
        <v>UP</v>
      </c>
      <c r="N198">
        <f t="shared" si="58"/>
        <v>0.8000000000001819</v>
      </c>
      <c r="O198">
        <f t="shared" si="59"/>
        <v>1.8000000000001819</v>
      </c>
      <c r="P198">
        <f t="shared" si="60"/>
        <v>1.8000000000001819</v>
      </c>
      <c r="Q198">
        <f t="shared" si="61"/>
        <v>1.8000000000001819</v>
      </c>
      <c r="R198">
        <f t="shared" si="62"/>
        <v>1477.6700000000003</v>
      </c>
      <c r="S198">
        <f t="shared" si="63"/>
        <v>-1.999999999998181E-2</v>
      </c>
      <c r="T198">
        <f t="shared" si="64"/>
        <v>1214.3539999999998</v>
      </c>
      <c r="U198">
        <f t="shared" si="65"/>
        <v>29.577999999999975</v>
      </c>
      <c r="V198">
        <f t="shared" si="66"/>
        <v>607.17699999999991</v>
      </c>
      <c r="W198">
        <f t="shared" si="67"/>
        <v>14.788999999999987</v>
      </c>
      <c r="X198">
        <f t="shared" si="68"/>
        <v>303.58849999999995</v>
      </c>
    </row>
    <row r="199" spans="1:24" x14ac:dyDescent="0.3">
      <c r="A199" t="s">
        <v>234</v>
      </c>
      <c r="B199">
        <v>1478.2</v>
      </c>
      <c r="C199">
        <v>1479</v>
      </c>
      <c r="D199">
        <v>1477.6</v>
      </c>
      <c r="E199">
        <v>1478.1</v>
      </c>
      <c r="F199">
        <v>6599</v>
      </c>
      <c r="G199">
        <v>0</v>
      </c>
      <c r="H199">
        <f t="shared" si="52"/>
        <v>1478.2</v>
      </c>
      <c r="I199">
        <f t="shared" si="53"/>
        <v>1479</v>
      </c>
      <c r="J199">
        <f t="shared" si="54"/>
        <v>1477.6</v>
      </c>
      <c r="K199">
        <f t="shared" si="55"/>
        <v>1.4000000000000909</v>
      </c>
      <c r="L199">
        <f t="shared" si="56"/>
        <v>0</v>
      </c>
      <c r="M199" t="str">
        <f t="shared" si="57"/>
        <v>DOWN</v>
      </c>
      <c r="N199">
        <f t="shared" si="58"/>
        <v>-0.10000000000013642</v>
      </c>
      <c r="O199">
        <f t="shared" si="59"/>
        <v>1</v>
      </c>
      <c r="P199">
        <f t="shared" si="60"/>
        <v>1</v>
      </c>
      <c r="Q199">
        <f t="shared" si="61"/>
        <v>1</v>
      </c>
      <c r="R199">
        <f t="shared" si="62"/>
        <v>1477.6900000000003</v>
      </c>
      <c r="S199">
        <f t="shared" si="63"/>
        <v>0.10999999999989996</v>
      </c>
      <c r="T199">
        <f t="shared" si="64"/>
        <v>1184.7759999999998</v>
      </c>
      <c r="U199">
        <f t="shared" si="65"/>
        <v>29.561999999999898</v>
      </c>
      <c r="V199">
        <f t="shared" si="66"/>
        <v>592.38799999999992</v>
      </c>
      <c r="W199">
        <f t="shared" si="67"/>
        <v>14.780999999999949</v>
      </c>
      <c r="X199">
        <f t="shared" si="68"/>
        <v>296.19399999999996</v>
      </c>
    </row>
    <row r="200" spans="1:24" x14ac:dyDescent="0.3">
      <c r="A200" t="s">
        <v>235</v>
      </c>
      <c r="B200">
        <v>1477.7</v>
      </c>
      <c r="C200">
        <v>1478.9</v>
      </c>
      <c r="D200">
        <v>1477.5</v>
      </c>
      <c r="E200">
        <v>1478.2</v>
      </c>
      <c r="F200">
        <v>5159</v>
      </c>
      <c r="G200">
        <v>0</v>
      </c>
      <c r="H200">
        <f t="shared" si="52"/>
        <v>1477.4</v>
      </c>
      <c r="I200">
        <f t="shared" si="53"/>
        <v>1478.9</v>
      </c>
      <c r="J200">
        <f t="shared" si="54"/>
        <v>1477.4</v>
      </c>
      <c r="K200">
        <f t="shared" si="55"/>
        <v>1.5</v>
      </c>
      <c r="L200">
        <f t="shared" si="56"/>
        <v>0.29999999999995453</v>
      </c>
      <c r="M200" t="str">
        <f t="shared" si="57"/>
        <v>UP</v>
      </c>
      <c r="N200">
        <f t="shared" si="58"/>
        <v>0.79999999999995453</v>
      </c>
      <c r="O200">
        <f t="shared" si="59"/>
        <v>1.1000000000001364</v>
      </c>
      <c r="P200">
        <f t="shared" si="60"/>
        <v>1.1000000000001364</v>
      </c>
      <c r="Q200">
        <f t="shared" si="61"/>
        <v>1.1000000000001364</v>
      </c>
      <c r="R200">
        <f t="shared" si="62"/>
        <v>1477.5800000000004</v>
      </c>
      <c r="S200">
        <f t="shared" si="63"/>
        <v>0.22000000000025466</v>
      </c>
      <c r="T200">
        <f t="shared" si="64"/>
        <v>1155.2139999999999</v>
      </c>
      <c r="U200">
        <f t="shared" si="65"/>
        <v>29.563999999999851</v>
      </c>
      <c r="V200">
        <f t="shared" si="66"/>
        <v>577.60699999999997</v>
      </c>
      <c r="W200">
        <f t="shared" si="67"/>
        <v>14.781999999999925</v>
      </c>
      <c r="X200">
        <f t="shared" si="68"/>
        <v>288.80349999999999</v>
      </c>
    </row>
    <row r="201" spans="1:24" x14ac:dyDescent="0.3">
      <c r="A201" t="s">
        <v>236</v>
      </c>
      <c r="B201">
        <v>1477.1</v>
      </c>
      <c r="C201">
        <v>1478.5</v>
      </c>
      <c r="D201">
        <v>1476.7</v>
      </c>
      <c r="E201">
        <v>1477.4</v>
      </c>
      <c r="F201">
        <v>6000</v>
      </c>
      <c r="G201">
        <v>0</v>
      </c>
      <c r="H201">
        <f t="shared" si="52"/>
        <v>1477.1</v>
      </c>
      <c r="I201">
        <f t="shared" si="53"/>
        <v>1478.5</v>
      </c>
      <c r="J201">
        <f t="shared" si="54"/>
        <v>1476.7</v>
      </c>
      <c r="K201">
        <f t="shared" si="55"/>
        <v>1.7999999999999545</v>
      </c>
      <c r="L201">
        <f t="shared" si="56"/>
        <v>0</v>
      </c>
      <c r="M201" t="str">
        <f t="shared" si="57"/>
        <v>UP</v>
      </c>
      <c r="N201">
        <f t="shared" si="58"/>
        <v>0.3000000000001819</v>
      </c>
      <c r="O201">
        <f t="shared" si="59"/>
        <v>0.3000000000001819</v>
      </c>
      <c r="P201">
        <f t="shared" si="60"/>
        <v>0.3000000000001819</v>
      </c>
      <c r="Q201">
        <f t="shared" si="61"/>
        <v>0.3000000000001819</v>
      </c>
      <c r="R201">
        <f t="shared" si="62"/>
        <v>1477.3600000000001</v>
      </c>
      <c r="S201">
        <f t="shared" si="63"/>
        <v>1.999999999998181E-2</v>
      </c>
      <c r="T201">
        <f t="shared" si="64"/>
        <v>1125.6500000000001</v>
      </c>
      <c r="U201">
        <f t="shared" si="65"/>
        <v>29.548000000000002</v>
      </c>
      <c r="V201">
        <f t="shared" si="66"/>
        <v>562.82500000000005</v>
      </c>
      <c r="W201">
        <f t="shared" si="67"/>
        <v>562.82500000000005</v>
      </c>
      <c r="X201">
        <f t="shared" si="68"/>
        <v>281.41250000000002</v>
      </c>
    </row>
    <row r="202" spans="1:24" x14ac:dyDescent="0.3">
      <c r="A202" t="s">
        <v>237</v>
      </c>
      <c r="B202">
        <v>1476.5</v>
      </c>
      <c r="C202">
        <v>1478</v>
      </c>
      <c r="D202">
        <v>1476.1</v>
      </c>
      <c r="E202">
        <v>1477.1</v>
      </c>
      <c r="F202">
        <v>4423</v>
      </c>
      <c r="G202">
        <v>0</v>
      </c>
      <c r="O202">
        <f t="shared" si="59"/>
        <v>0</v>
      </c>
      <c r="P202">
        <f t="shared" si="60"/>
        <v>0</v>
      </c>
      <c r="R202">
        <f t="shared" si="62"/>
        <v>1477.3400000000001</v>
      </c>
      <c r="S202">
        <f t="shared" si="63"/>
        <v>-9.9999999999909051E-2</v>
      </c>
      <c r="T202">
        <f t="shared" si="64"/>
        <v>1096.1020000000001</v>
      </c>
      <c r="U202">
        <f t="shared" si="65"/>
        <v>29.542000000000144</v>
      </c>
    </row>
    <row r="203" spans="1:24" x14ac:dyDescent="0.3">
      <c r="A203" t="s">
        <v>64</v>
      </c>
      <c r="B203">
        <v>1477.1</v>
      </c>
      <c r="C203">
        <v>1477.4</v>
      </c>
      <c r="D203">
        <v>1475.5</v>
      </c>
      <c r="E203">
        <v>1476.5</v>
      </c>
      <c r="F203">
        <v>17379</v>
      </c>
      <c r="G203">
        <v>0</v>
      </c>
      <c r="O203">
        <f t="shared" si="59"/>
        <v>0</v>
      </c>
      <c r="P203">
        <f t="shared" si="60"/>
        <v>0</v>
      </c>
      <c r="R203">
        <f t="shared" si="62"/>
        <v>1477.44</v>
      </c>
      <c r="S203">
        <f t="shared" si="63"/>
        <v>-0.21000000000003638</v>
      </c>
      <c r="T203">
        <f t="shared" si="64"/>
        <v>1066.56</v>
      </c>
      <c r="U203">
        <f t="shared" si="65"/>
        <v>29.529999999999973</v>
      </c>
    </row>
    <row r="204" spans="1:24" x14ac:dyDescent="0.3">
      <c r="A204" t="s">
        <v>238</v>
      </c>
      <c r="B204">
        <v>1477.5</v>
      </c>
      <c r="C204">
        <v>1478</v>
      </c>
      <c r="D204">
        <v>1477</v>
      </c>
      <c r="E204">
        <v>1477</v>
      </c>
      <c r="F204">
        <v>7646</v>
      </c>
      <c r="G204">
        <v>0</v>
      </c>
      <c r="O204">
        <f t="shared" si="59"/>
        <v>0</v>
      </c>
      <c r="P204">
        <f t="shared" si="60"/>
        <v>0</v>
      </c>
      <c r="R204">
        <f t="shared" si="62"/>
        <v>1477.65</v>
      </c>
      <c r="S204">
        <f t="shared" si="63"/>
        <v>-0.10000000000013642</v>
      </c>
      <c r="T204">
        <f t="shared" si="64"/>
        <v>1037.03</v>
      </c>
      <c r="U204">
        <f t="shared" si="65"/>
        <v>29.539999999999964</v>
      </c>
    </row>
    <row r="205" spans="1:24" x14ac:dyDescent="0.3">
      <c r="A205" t="s">
        <v>239</v>
      </c>
      <c r="B205">
        <v>1478.6</v>
      </c>
      <c r="C205">
        <v>1478.9</v>
      </c>
      <c r="D205">
        <v>1477</v>
      </c>
      <c r="E205">
        <v>1477.7</v>
      </c>
      <c r="F205">
        <v>4446</v>
      </c>
      <c r="G205">
        <v>0</v>
      </c>
      <c r="O205">
        <f t="shared" si="59"/>
        <v>0</v>
      </c>
      <c r="P205">
        <f t="shared" si="60"/>
        <v>0</v>
      </c>
      <c r="R205">
        <f t="shared" si="62"/>
        <v>1477.7500000000002</v>
      </c>
      <c r="S205">
        <f t="shared" si="63"/>
        <v>-0.41999999999984539</v>
      </c>
      <c r="T205">
        <f t="shared" si="64"/>
        <v>1007.49</v>
      </c>
      <c r="U205">
        <f t="shared" si="65"/>
        <v>29.554000000000087</v>
      </c>
    </row>
    <row r="206" spans="1:24" x14ac:dyDescent="0.3">
      <c r="A206" t="s">
        <v>240</v>
      </c>
      <c r="B206">
        <v>1478</v>
      </c>
      <c r="C206">
        <v>1478.9</v>
      </c>
      <c r="D206">
        <v>1477</v>
      </c>
      <c r="E206">
        <v>1478.2</v>
      </c>
      <c r="F206">
        <v>9513</v>
      </c>
      <c r="G206">
        <v>0</v>
      </c>
      <c r="O206">
        <f t="shared" si="59"/>
        <v>0</v>
      </c>
      <c r="P206">
        <f t="shared" si="60"/>
        <v>0</v>
      </c>
      <c r="R206">
        <f t="shared" si="62"/>
        <v>1478.17</v>
      </c>
      <c r="S206">
        <f t="shared" si="63"/>
        <v>-0.31999999999993634</v>
      </c>
      <c r="T206">
        <f t="shared" si="64"/>
        <v>977.93599999999992</v>
      </c>
      <c r="U206">
        <f t="shared" si="65"/>
        <v>29.564000000000078</v>
      </c>
    </row>
    <row r="207" spans="1:24" x14ac:dyDescent="0.3">
      <c r="A207" t="s">
        <v>241</v>
      </c>
      <c r="B207">
        <v>1479</v>
      </c>
      <c r="C207">
        <v>1479.4</v>
      </c>
      <c r="D207">
        <v>1477.1</v>
      </c>
      <c r="E207">
        <v>1477.6</v>
      </c>
      <c r="F207">
        <v>12721</v>
      </c>
      <c r="G207">
        <v>0</v>
      </c>
      <c r="O207">
        <f t="shared" si="59"/>
        <v>0</v>
      </c>
      <c r="P207">
        <f t="shared" si="60"/>
        <v>0</v>
      </c>
      <c r="R207">
        <f t="shared" si="62"/>
        <v>1478.49</v>
      </c>
      <c r="S207">
        <f t="shared" si="63"/>
        <v>-0.53999999999996362</v>
      </c>
      <c r="T207">
        <f t="shared" si="64"/>
        <v>948.37199999999984</v>
      </c>
      <c r="U207">
        <f t="shared" si="65"/>
        <v>29.552000000000021</v>
      </c>
    </row>
    <row r="208" spans="1:24" x14ac:dyDescent="0.3">
      <c r="A208" t="s">
        <v>65</v>
      </c>
      <c r="B208">
        <v>1477</v>
      </c>
      <c r="C208">
        <v>1480</v>
      </c>
      <c r="D208">
        <v>1477</v>
      </c>
      <c r="E208">
        <v>1479.1</v>
      </c>
      <c r="F208">
        <v>8957</v>
      </c>
      <c r="G208">
        <v>0</v>
      </c>
      <c r="O208">
        <f t="shared" si="59"/>
        <v>0</v>
      </c>
      <c r="P208">
        <f t="shared" si="60"/>
        <v>0</v>
      </c>
      <c r="R208">
        <f t="shared" si="62"/>
        <v>1479.03</v>
      </c>
      <c r="S208">
        <f t="shared" si="63"/>
        <v>-0.35999999999989996</v>
      </c>
      <c r="T208">
        <f t="shared" si="64"/>
        <v>918.81999999999982</v>
      </c>
      <c r="U208">
        <f t="shared" si="65"/>
        <v>29.582000000000107</v>
      </c>
    </row>
    <row r="209" spans="1:21" x14ac:dyDescent="0.3">
      <c r="A209" t="s">
        <v>242</v>
      </c>
      <c r="B209">
        <v>1476</v>
      </c>
      <c r="C209">
        <v>1479</v>
      </c>
      <c r="D209">
        <v>1476</v>
      </c>
      <c r="E209">
        <v>1477</v>
      </c>
      <c r="F209">
        <v>11023</v>
      </c>
      <c r="G209">
        <v>0</v>
      </c>
      <c r="O209">
        <f t="shared" si="59"/>
        <v>0</v>
      </c>
      <c r="P209">
        <f t="shared" si="60"/>
        <v>0</v>
      </c>
      <c r="R209">
        <f t="shared" si="62"/>
        <v>1479.3899999999999</v>
      </c>
      <c r="S209">
        <f t="shared" si="63"/>
        <v>-0.65000000000009095</v>
      </c>
      <c r="T209">
        <f t="shared" si="64"/>
        <v>889.23799999999972</v>
      </c>
      <c r="U209">
        <f t="shared" si="65"/>
        <v>29.539999999999964</v>
      </c>
    </row>
    <row r="210" spans="1:21" x14ac:dyDescent="0.3">
      <c r="A210" t="s">
        <v>243</v>
      </c>
      <c r="B210">
        <v>1477.2</v>
      </c>
      <c r="C210">
        <v>1477.3</v>
      </c>
      <c r="D210">
        <v>1475.1</v>
      </c>
      <c r="E210">
        <v>1476</v>
      </c>
      <c r="F210">
        <v>20936</v>
      </c>
      <c r="G210">
        <v>0</v>
      </c>
      <c r="O210">
        <f t="shared" si="59"/>
        <v>0</v>
      </c>
      <c r="P210">
        <f t="shared" si="60"/>
        <v>0</v>
      </c>
      <c r="R210">
        <f t="shared" si="62"/>
        <v>1480.04</v>
      </c>
      <c r="S210">
        <f t="shared" si="63"/>
        <v>-0.76999999999998181</v>
      </c>
      <c r="T210">
        <f t="shared" si="64"/>
        <v>859.69799999999975</v>
      </c>
      <c r="U210">
        <f t="shared" si="65"/>
        <v>29.519999999999868</v>
      </c>
    </row>
    <row r="211" spans="1:21" x14ac:dyDescent="0.3">
      <c r="A211" t="s">
        <v>244</v>
      </c>
      <c r="B211">
        <v>1478.9</v>
      </c>
      <c r="C211">
        <v>1478.9</v>
      </c>
      <c r="D211">
        <v>1477.1</v>
      </c>
      <c r="E211">
        <v>1477.2</v>
      </c>
      <c r="F211">
        <v>12246</v>
      </c>
      <c r="G211">
        <v>0</v>
      </c>
      <c r="O211">
        <f t="shared" si="59"/>
        <v>0</v>
      </c>
      <c r="P211">
        <f t="shared" si="60"/>
        <v>0</v>
      </c>
      <c r="R211">
        <f t="shared" si="62"/>
        <v>1480.81</v>
      </c>
      <c r="S211">
        <f t="shared" si="63"/>
        <v>-0.6000000000003638</v>
      </c>
      <c r="T211">
        <f t="shared" si="64"/>
        <v>830.17799999999988</v>
      </c>
      <c r="U211">
        <f t="shared" si="65"/>
        <v>29.543999999999983</v>
      </c>
    </row>
    <row r="212" spans="1:21" x14ac:dyDescent="0.3">
      <c r="A212" t="s">
        <v>245</v>
      </c>
      <c r="B212">
        <v>1478.6</v>
      </c>
      <c r="C212">
        <v>1479.5</v>
      </c>
      <c r="D212">
        <v>1477.5</v>
      </c>
      <c r="E212">
        <v>1478.1</v>
      </c>
      <c r="F212">
        <v>15046</v>
      </c>
      <c r="G212">
        <v>0</v>
      </c>
      <c r="O212">
        <f t="shared" si="59"/>
        <v>0</v>
      </c>
      <c r="P212">
        <f t="shared" si="60"/>
        <v>0</v>
      </c>
      <c r="R212">
        <f t="shared" si="62"/>
        <v>1481.4100000000003</v>
      </c>
      <c r="S212">
        <f t="shared" si="63"/>
        <v>-0.4499999999998181</v>
      </c>
      <c r="T212">
        <f t="shared" si="64"/>
        <v>800.6339999999999</v>
      </c>
      <c r="U212">
        <f t="shared" si="65"/>
        <v>29.561999999999784</v>
      </c>
    </row>
    <row r="213" spans="1:21" x14ac:dyDescent="0.3">
      <c r="A213" t="s">
        <v>66</v>
      </c>
      <c r="B213">
        <v>1478.1</v>
      </c>
      <c r="C213">
        <v>1479.4</v>
      </c>
      <c r="D213">
        <v>1477.5</v>
      </c>
      <c r="E213">
        <v>1478.6</v>
      </c>
      <c r="F213">
        <v>27616</v>
      </c>
      <c r="G213">
        <v>0</v>
      </c>
      <c r="O213">
        <f t="shared" si="59"/>
        <v>0</v>
      </c>
      <c r="P213">
        <f t="shared" si="60"/>
        <v>0</v>
      </c>
      <c r="R213">
        <f t="shared" si="62"/>
        <v>1481.8600000000001</v>
      </c>
      <c r="S213">
        <f t="shared" si="63"/>
        <v>-0.5600000000001728</v>
      </c>
      <c r="T213">
        <f t="shared" si="64"/>
        <v>771.07200000000012</v>
      </c>
      <c r="U213">
        <f t="shared" si="65"/>
        <v>29.572000000000003</v>
      </c>
    </row>
    <row r="214" spans="1:21" x14ac:dyDescent="0.3">
      <c r="A214" t="s">
        <v>246</v>
      </c>
      <c r="B214">
        <v>1482.2</v>
      </c>
      <c r="C214">
        <v>1482.7</v>
      </c>
      <c r="D214">
        <v>1478</v>
      </c>
      <c r="E214">
        <v>1478</v>
      </c>
      <c r="F214">
        <v>38147</v>
      </c>
      <c r="G214">
        <v>0</v>
      </c>
      <c r="O214">
        <f t="shared" si="59"/>
        <v>0</v>
      </c>
      <c r="P214">
        <f t="shared" si="60"/>
        <v>0</v>
      </c>
      <c r="R214">
        <f t="shared" si="62"/>
        <v>1482.4200000000003</v>
      </c>
      <c r="S214">
        <f t="shared" si="63"/>
        <v>-0.35999999999989996</v>
      </c>
      <c r="T214">
        <f t="shared" si="64"/>
        <v>741.50000000000011</v>
      </c>
      <c r="U214">
        <f t="shared" si="65"/>
        <v>29.559999999999945</v>
      </c>
    </row>
    <row r="215" spans="1:21" x14ac:dyDescent="0.3">
      <c r="A215" t="s">
        <v>247</v>
      </c>
      <c r="B215">
        <v>1481.3</v>
      </c>
      <c r="C215">
        <v>1482.4</v>
      </c>
      <c r="D215">
        <v>1481.3</v>
      </c>
      <c r="E215">
        <v>1481.9</v>
      </c>
      <c r="F215">
        <v>4595</v>
      </c>
      <c r="G215">
        <v>0</v>
      </c>
      <c r="O215">
        <f t="shared" si="59"/>
        <v>0</v>
      </c>
      <c r="P215">
        <f t="shared" si="60"/>
        <v>0</v>
      </c>
      <c r="R215">
        <f t="shared" si="62"/>
        <v>1482.7800000000002</v>
      </c>
      <c r="S215">
        <f t="shared" si="63"/>
        <v>-9.9999999999909051E-3</v>
      </c>
      <c r="T215">
        <f t="shared" si="64"/>
        <v>711.94000000000017</v>
      </c>
      <c r="U215">
        <f t="shared" si="65"/>
        <v>29.638000000000147</v>
      </c>
    </row>
    <row r="216" spans="1:21" x14ac:dyDescent="0.3">
      <c r="A216" t="s">
        <v>248</v>
      </c>
      <c r="B216">
        <v>1483</v>
      </c>
      <c r="C216">
        <v>1483.1</v>
      </c>
      <c r="D216">
        <v>1481.3</v>
      </c>
      <c r="E216">
        <v>1481.4</v>
      </c>
      <c r="F216">
        <v>27503</v>
      </c>
      <c r="G216">
        <v>0</v>
      </c>
      <c r="O216">
        <f t="shared" si="59"/>
        <v>0</v>
      </c>
      <c r="P216">
        <f t="shared" si="60"/>
        <v>0</v>
      </c>
      <c r="R216">
        <f t="shared" si="62"/>
        <v>1482.7900000000002</v>
      </c>
      <c r="S216">
        <f t="shared" si="63"/>
        <v>-0.1399999999996453</v>
      </c>
      <c r="T216">
        <f t="shared" si="64"/>
        <v>682.30200000000002</v>
      </c>
      <c r="U216">
        <f t="shared" si="65"/>
        <v>29.628000000000043</v>
      </c>
    </row>
    <row r="217" spans="1:21" x14ac:dyDescent="0.3">
      <c r="A217" t="s">
        <v>249</v>
      </c>
      <c r="B217">
        <v>1482.6</v>
      </c>
      <c r="C217">
        <v>1483.1</v>
      </c>
      <c r="D217">
        <v>1482</v>
      </c>
      <c r="E217">
        <v>1483</v>
      </c>
      <c r="F217">
        <v>6638</v>
      </c>
      <c r="G217">
        <v>0</v>
      </c>
      <c r="O217">
        <f t="shared" si="59"/>
        <v>0</v>
      </c>
      <c r="P217">
        <f t="shared" si="60"/>
        <v>0</v>
      </c>
      <c r="R217">
        <f t="shared" si="62"/>
        <v>1482.9299999999998</v>
      </c>
      <c r="S217">
        <f t="shared" si="63"/>
        <v>-6.0000000000172804E-2</v>
      </c>
      <c r="T217">
        <f t="shared" si="64"/>
        <v>652.67399999999998</v>
      </c>
      <c r="U217">
        <f t="shared" si="65"/>
        <v>29.659999999999968</v>
      </c>
    </row>
    <row r="218" spans="1:21" x14ac:dyDescent="0.3">
      <c r="A218" t="s">
        <v>67</v>
      </c>
      <c r="B218">
        <v>1483.5</v>
      </c>
      <c r="C218">
        <v>1484</v>
      </c>
      <c r="D218">
        <v>1481.2</v>
      </c>
      <c r="E218">
        <v>1482.7</v>
      </c>
      <c r="F218">
        <v>13939</v>
      </c>
      <c r="G218">
        <v>0</v>
      </c>
      <c r="O218">
        <f t="shared" si="59"/>
        <v>0</v>
      </c>
      <c r="P218">
        <f t="shared" si="60"/>
        <v>0</v>
      </c>
      <c r="R218">
        <f t="shared" si="62"/>
        <v>1482.99</v>
      </c>
      <c r="S218">
        <f t="shared" si="63"/>
        <v>-9.9999999999909051E-2</v>
      </c>
      <c r="T218">
        <f t="shared" si="64"/>
        <v>623.01400000000001</v>
      </c>
      <c r="U218">
        <f t="shared" si="65"/>
        <v>29.65400000000011</v>
      </c>
    </row>
    <row r="219" spans="1:21" x14ac:dyDescent="0.3">
      <c r="A219" t="s">
        <v>250</v>
      </c>
      <c r="B219">
        <v>1483.7</v>
      </c>
      <c r="C219">
        <v>1484.4</v>
      </c>
      <c r="D219">
        <v>1483</v>
      </c>
      <c r="E219">
        <v>1483.5</v>
      </c>
      <c r="F219">
        <v>8402</v>
      </c>
      <c r="G219">
        <v>0</v>
      </c>
      <c r="O219">
        <f t="shared" si="59"/>
        <v>0</v>
      </c>
      <c r="P219">
        <f t="shared" si="60"/>
        <v>0</v>
      </c>
      <c r="R219">
        <f t="shared" si="62"/>
        <v>1483.09</v>
      </c>
      <c r="S219">
        <f t="shared" si="63"/>
        <v>1.999999999998181E-2</v>
      </c>
      <c r="T219">
        <f t="shared" si="64"/>
        <v>593.3599999999999</v>
      </c>
      <c r="U219">
        <f t="shared" si="65"/>
        <v>29.669999999999845</v>
      </c>
    </row>
    <row r="220" spans="1:21" x14ac:dyDescent="0.3">
      <c r="A220" t="s">
        <v>251</v>
      </c>
      <c r="B220">
        <v>1483.5</v>
      </c>
      <c r="C220">
        <v>1484.6</v>
      </c>
      <c r="D220">
        <v>1483.4</v>
      </c>
      <c r="E220">
        <v>1483.7</v>
      </c>
      <c r="F220">
        <v>2774</v>
      </c>
      <c r="G220">
        <v>0</v>
      </c>
      <c r="O220">
        <f t="shared" si="59"/>
        <v>0</v>
      </c>
      <c r="P220">
        <f t="shared" si="60"/>
        <v>0</v>
      </c>
      <c r="R220">
        <f t="shared" si="62"/>
        <v>1483.07</v>
      </c>
      <c r="S220">
        <f t="shared" si="63"/>
        <v>-0.13000000000010914</v>
      </c>
      <c r="T220">
        <f t="shared" si="64"/>
        <v>563.69000000000005</v>
      </c>
      <c r="U220">
        <f t="shared" si="65"/>
        <v>29.674000000000092</v>
      </c>
    </row>
    <row r="221" spans="1:21" x14ac:dyDescent="0.3">
      <c r="A221" t="s">
        <v>252</v>
      </c>
      <c r="B221">
        <v>1483</v>
      </c>
      <c r="C221">
        <v>1483.9</v>
      </c>
      <c r="D221">
        <v>1482.1</v>
      </c>
      <c r="E221">
        <v>1483.2</v>
      </c>
      <c r="F221">
        <v>4831</v>
      </c>
      <c r="G221">
        <v>0</v>
      </c>
      <c r="O221">
        <f t="shared" si="59"/>
        <v>0</v>
      </c>
      <c r="P221">
        <f t="shared" si="60"/>
        <v>0</v>
      </c>
      <c r="R221">
        <f t="shared" si="62"/>
        <v>1483.2</v>
      </c>
      <c r="S221">
        <f t="shared" si="63"/>
        <v>-0.15999999999985448</v>
      </c>
      <c r="T221">
        <f t="shared" si="64"/>
        <v>534.01599999999996</v>
      </c>
      <c r="U221">
        <f t="shared" si="65"/>
        <v>29.663999999999987</v>
      </c>
    </row>
    <row r="222" spans="1:21" x14ac:dyDescent="0.3">
      <c r="A222" t="s">
        <v>253</v>
      </c>
      <c r="B222">
        <v>1483.5</v>
      </c>
      <c r="C222">
        <v>1485</v>
      </c>
      <c r="D222">
        <v>1482.6</v>
      </c>
      <c r="E222">
        <v>1482.6</v>
      </c>
      <c r="F222">
        <v>7400</v>
      </c>
      <c r="G222">
        <v>0</v>
      </c>
      <c r="O222">
        <f t="shared" si="59"/>
        <v>0</v>
      </c>
      <c r="P222">
        <f t="shared" si="60"/>
        <v>0</v>
      </c>
      <c r="R222">
        <f t="shared" si="62"/>
        <v>1483.36</v>
      </c>
      <c r="S222">
        <f t="shared" si="63"/>
        <v>-0.11000000000012733</v>
      </c>
      <c r="T222">
        <f t="shared" si="64"/>
        <v>504.35199999999998</v>
      </c>
      <c r="U222">
        <f t="shared" si="65"/>
        <v>29.651999999999987</v>
      </c>
    </row>
    <row r="223" spans="1:21" x14ac:dyDescent="0.3">
      <c r="A223" t="s">
        <v>68</v>
      </c>
      <c r="B223">
        <v>1481.3</v>
      </c>
      <c r="C223">
        <v>1484.6</v>
      </c>
      <c r="D223">
        <v>1481.3</v>
      </c>
      <c r="E223">
        <v>1484.2</v>
      </c>
      <c r="F223">
        <v>11260</v>
      </c>
      <c r="G223">
        <v>0</v>
      </c>
      <c r="O223">
        <f t="shared" si="59"/>
        <v>0</v>
      </c>
      <c r="P223">
        <f t="shared" si="60"/>
        <v>0</v>
      </c>
      <c r="R223">
        <f t="shared" si="62"/>
        <v>1483.47</v>
      </c>
      <c r="S223">
        <f t="shared" si="63"/>
        <v>9.9999999999909051E-2</v>
      </c>
      <c r="T223">
        <f t="shared" si="64"/>
        <v>474.7</v>
      </c>
      <c r="U223">
        <f t="shared" si="65"/>
        <v>29.684000000000026</v>
      </c>
    </row>
    <row r="224" spans="1:21" x14ac:dyDescent="0.3">
      <c r="A224" t="s">
        <v>254</v>
      </c>
      <c r="B224">
        <v>1481.4</v>
      </c>
      <c r="C224">
        <v>1482</v>
      </c>
      <c r="D224">
        <v>1480.5</v>
      </c>
      <c r="E224">
        <v>1481.6</v>
      </c>
      <c r="F224">
        <v>8330</v>
      </c>
      <c r="G224">
        <v>0</v>
      </c>
      <c r="O224">
        <f t="shared" si="59"/>
        <v>0</v>
      </c>
      <c r="P224">
        <f t="shared" si="60"/>
        <v>0</v>
      </c>
      <c r="R224">
        <f t="shared" si="62"/>
        <v>1483.3700000000001</v>
      </c>
      <c r="S224">
        <f t="shared" si="63"/>
        <v>-0.50999999999999091</v>
      </c>
      <c r="T224">
        <f t="shared" si="64"/>
        <v>445.01599999999996</v>
      </c>
      <c r="U224">
        <f t="shared" si="65"/>
        <v>29.631999999999948</v>
      </c>
    </row>
    <row r="225" spans="1:21" x14ac:dyDescent="0.3">
      <c r="A225" t="s">
        <v>255</v>
      </c>
      <c r="B225">
        <v>1483.3</v>
      </c>
      <c r="C225">
        <v>1483.3</v>
      </c>
      <c r="D225">
        <v>1480</v>
      </c>
      <c r="E225">
        <v>1482</v>
      </c>
      <c r="F225">
        <v>28269</v>
      </c>
      <c r="G225">
        <v>0</v>
      </c>
      <c r="O225">
        <f t="shared" si="59"/>
        <v>0</v>
      </c>
      <c r="P225">
        <f t="shared" si="60"/>
        <v>0</v>
      </c>
      <c r="R225">
        <f t="shared" si="62"/>
        <v>1483.88</v>
      </c>
      <c r="S225">
        <f t="shared" si="63"/>
        <v>-5.999999999994543E-2</v>
      </c>
      <c r="T225">
        <f t="shared" si="64"/>
        <v>415.38400000000001</v>
      </c>
      <c r="U225">
        <f t="shared" si="65"/>
        <v>29.639999999999986</v>
      </c>
    </row>
    <row r="226" spans="1:21" x14ac:dyDescent="0.3">
      <c r="A226" t="s">
        <v>256</v>
      </c>
      <c r="B226">
        <v>1483.6</v>
      </c>
      <c r="C226">
        <v>1484.3</v>
      </c>
      <c r="D226">
        <v>1482.4</v>
      </c>
      <c r="E226">
        <v>1482.8</v>
      </c>
      <c r="F226">
        <v>8988</v>
      </c>
      <c r="G226">
        <v>0</v>
      </c>
      <c r="O226">
        <f t="shared" si="59"/>
        <v>0</v>
      </c>
      <c r="P226">
        <f t="shared" si="60"/>
        <v>0</v>
      </c>
      <c r="R226">
        <f t="shared" si="62"/>
        <v>1483.94</v>
      </c>
      <c r="S226">
        <f t="shared" si="63"/>
        <v>0.10999999999967258</v>
      </c>
      <c r="T226">
        <f t="shared" si="64"/>
        <v>385.74400000000003</v>
      </c>
      <c r="U226">
        <f t="shared" si="65"/>
        <v>29.656000000000006</v>
      </c>
    </row>
    <row r="227" spans="1:21" x14ac:dyDescent="0.3">
      <c r="A227" t="s">
        <v>257</v>
      </c>
      <c r="B227">
        <v>1483.6</v>
      </c>
      <c r="C227">
        <v>1484.5</v>
      </c>
      <c r="D227">
        <v>1483</v>
      </c>
      <c r="E227">
        <v>1483.6</v>
      </c>
      <c r="F227">
        <v>5689</v>
      </c>
      <c r="G227">
        <v>0</v>
      </c>
      <c r="O227">
        <f t="shared" si="59"/>
        <v>0</v>
      </c>
      <c r="P227">
        <f t="shared" si="60"/>
        <v>0</v>
      </c>
      <c r="R227">
        <f t="shared" si="62"/>
        <v>1483.8300000000004</v>
      </c>
      <c r="S227">
        <f t="shared" si="63"/>
        <v>0.13000000000010914</v>
      </c>
      <c r="T227">
        <f t="shared" si="64"/>
        <v>356.08800000000002</v>
      </c>
      <c r="U227">
        <f t="shared" si="65"/>
        <v>29.672000000000025</v>
      </c>
    </row>
    <row r="228" spans="1:21" x14ac:dyDescent="0.3">
      <c r="A228" t="s">
        <v>69</v>
      </c>
      <c r="B228">
        <v>1483.7</v>
      </c>
      <c r="C228">
        <v>1483.9</v>
      </c>
      <c r="D228">
        <v>1482.3</v>
      </c>
      <c r="E228">
        <v>1483.7</v>
      </c>
      <c r="F228">
        <v>14537</v>
      </c>
      <c r="G228">
        <v>0</v>
      </c>
      <c r="O228">
        <f t="shared" si="59"/>
        <v>0</v>
      </c>
      <c r="P228">
        <f t="shared" si="60"/>
        <v>0</v>
      </c>
      <c r="R228">
        <f t="shared" si="62"/>
        <v>1483.7000000000003</v>
      </c>
      <c r="S228">
        <f t="shared" si="63"/>
        <v>-9.9999999997635314E-3</v>
      </c>
      <c r="T228">
        <f t="shared" si="64"/>
        <v>326.416</v>
      </c>
      <c r="U228">
        <f t="shared" si="65"/>
        <v>29.673999999999978</v>
      </c>
    </row>
    <row r="229" spans="1:21" x14ac:dyDescent="0.3">
      <c r="A229" t="s">
        <v>258</v>
      </c>
      <c r="B229">
        <v>1485</v>
      </c>
      <c r="C229">
        <v>1485</v>
      </c>
      <c r="D229">
        <v>1483.3</v>
      </c>
      <c r="E229">
        <v>1483.3</v>
      </c>
      <c r="F229">
        <v>22882</v>
      </c>
      <c r="G229">
        <v>0</v>
      </c>
      <c r="O229">
        <f t="shared" si="59"/>
        <v>0</v>
      </c>
      <c r="P229">
        <f t="shared" si="60"/>
        <v>0</v>
      </c>
      <c r="R229">
        <f t="shared" si="62"/>
        <v>1483.71</v>
      </c>
      <c r="S229">
        <f t="shared" si="63"/>
        <v>148.33000000000015</v>
      </c>
      <c r="T229">
        <f t="shared" si="64"/>
        <v>296.74200000000002</v>
      </c>
      <c r="U229">
        <f t="shared" si="65"/>
        <v>29.666000000000054</v>
      </c>
    </row>
    <row r="230" spans="1:21" x14ac:dyDescent="0.3">
      <c r="A230" t="s">
        <v>259</v>
      </c>
      <c r="B230">
        <v>1484.5</v>
      </c>
      <c r="C230">
        <v>1485.5</v>
      </c>
      <c r="D230">
        <v>1484</v>
      </c>
      <c r="E230">
        <v>1485</v>
      </c>
      <c r="F230">
        <v>10424</v>
      </c>
      <c r="G230">
        <v>0</v>
      </c>
      <c r="O230">
        <f t="shared" si="59"/>
        <v>0</v>
      </c>
      <c r="P230">
        <f t="shared" si="60"/>
        <v>0</v>
      </c>
      <c r="R230">
        <f t="shared" si="62"/>
        <v>1335.3799999999999</v>
      </c>
      <c r="S230">
        <f t="shared" si="63"/>
        <v>148.5</v>
      </c>
      <c r="T230">
        <f t="shared" si="64"/>
        <v>267.07599999999996</v>
      </c>
      <c r="U230">
        <f t="shared" si="65"/>
        <v>29.699999999999989</v>
      </c>
    </row>
    <row r="231" spans="1:21" x14ac:dyDescent="0.3">
      <c r="A231" t="s">
        <v>260</v>
      </c>
      <c r="B231">
        <v>1484.1</v>
      </c>
      <c r="C231">
        <v>1485</v>
      </c>
      <c r="D231">
        <v>1483.5</v>
      </c>
      <c r="E231">
        <v>1484.8</v>
      </c>
      <c r="F231">
        <v>14880</v>
      </c>
      <c r="G231">
        <v>0</v>
      </c>
      <c r="O231">
        <f t="shared" si="59"/>
        <v>0</v>
      </c>
      <c r="P231">
        <f t="shared" si="60"/>
        <v>0</v>
      </c>
      <c r="R231">
        <f t="shared" si="62"/>
        <v>1186.8799999999999</v>
      </c>
      <c r="S231">
        <f t="shared" si="63"/>
        <v>148.47999999999979</v>
      </c>
      <c r="T231">
        <f t="shared" si="64"/>
        <v>237.37599999999998</v>
      </c>
      <c r="U231">
        <f t="shared" si="65"/>
        <v>29.69599999999997</v>
      </c>
    </row>
    <row r="232" spans="1:21" x14ac:dyDescent="0.3">
      <c r="A232" t="s">
        <v>261</v>
      </c>
      <c r="B232">
        <v>1483.2</v>
      </c>
      <c r="C232">
        <v>1484.5</v>
      </c>
      <c r="D232">
        <v>1483.2</v>
      </c>
      <c r="E232">
        <v>1483.7</v>
      </c>
      <c r="F232">
        <v>8382</v>
      </c>
      <c r="G232">
        <v>0</v>
      </c>
      <c r="O232">
        <f t="shared" si="59"/>
        <v>0</v>
      </c>
      <c r="P232">
        <f t="shared" si="60"/>
        <v>0</v>
      </c>
      <c r="R232">
        <f t="shared" si="62"/>
        <v>1038.4000000000001</v>
      </c>
      <c r="S232">
        <f t="shared" si="63"/>
        <v>148.37000000000012</v>
      </c>
      <c r="T232">
        <f t="shared" si="64"/>
        <v>207.68</v>
      </c>
      <c r="U232">
        <f t="shared" si="65"/>
        <v>29.674000000000035</v>
      </c>
    </row>
    <row r="233" spans="1:21" x14ac:dyDescent="0.3">
      <c r="A233" t="s">
        <v>70</v>
      </c>
      <c r="B233">
        <v>1486.6</v>
      </c>
      <c r="C233">
        <v>1487</v>
      </c>
      <c r="D233">
        <v>1483.2</v>
      </c>
      <c r="E233">
        <v>1483.2</v>
      </c>
      <c r="F233">
        <v>15230</v>
      </c>
      <c r="G233">
        <v>0</v>
      </c>
      <c r="O233">
        <f t="shared" si="59"/>
        <v>0</v>
      </c>
      <c r="P233">
        <f t="shared" si="60"/>
        <v>0</v>
      </c>
      <c r="R233">
        <f t="shared" si="62"/>
        <v>890.03</v>
      </c>
      <c r="S233">
        <f t="shared" si="63"/>
        <v>148.31999999999994</v>
      </c>
      <c r="T233">
        <f t="shared" si="64"/>
        <v>178.00599999999997</v>
      </c>
      <c r="U233">
        <f t="shared" si="65"/>
        <v>29.663999999999959</v>
      </c>
    </row>
    <row r="234" spans="1:21" x14ac:dyDescent="0.3">
      <c r="A234" t="s">
        <v>262</v>
      </c>
      <c r="B234">
        <v>1482.3</v>
      </c>
      <c r="C234">
        <v>1487.6</v>
      </c>
      <c r="D234">
        <v>1481.6</v>
      </c>
      <c r="E234">
        <v>1486.7</v>
      </c>
      <c r="F234">
        <v>24325</v>
      </c>
      <c r="G234">
        <v>0</v>
      </c>
      <c r="O234">
        <f t="shared" si="59"/>
        <v>0</v>
      </c>
      <c r="P234">
        <f t="shared" si="60"/>
        <v>0</v>
      </c>
      <c r="R234">
        <f t="shared" si="62"/>
        <v>741.71</v>
      </c>
      <c r="S234">
        <f t="shared" si="63"/>
        <v>148.66999999999996</v>
      </c>
      <c r="T234">
        <f t="shared" si="64"/>
        <v>148.34200000000001</v>
      </c>
      <c r="U234">
        <f t="shared" si="65"/>
        <v>29.734000000000009</v>
      </c>
    </row>
    <row r="235" spans="1:21" x14ac:dyDescent="0.3">
      <c r="A235" t="s">
        <v>263</v>
      </c>
      <c r="B235">
        <v>1481.7</v>
      </c>
      <c r="C235">
        <v>1483.4</v>
      </c>
      <c r="D235">
        <v>1480.5</v>
      </c>
      <c r="E235">
        <v>1482.6</v>
      </c>
      <c r="F235">
        <v>22654</v>
      </c>
      <c r="G235">
        <v>0</v>
      </c>
      <c r="O235">
        <f t="shared" si="59"/>
        <v>0</v>
      </c>
      <c r="P235">
        <f t="shared" si="60"/>
        <v>0</v>
      </c>
      <c r="R235">
        <f t="shared" si="62"/>
        <v>593.04000000000008</v>
      </c>
      <c r="S235">
        <f t="shared" si="63"/>
        <v>148.26000000000005</v>
      </c>
      <c r="T235">
        <f t="shared" si="64"/>
        <v>118.608</v>
      </c>
      <c r="U235">
        <f t="shared" si="65"/>
        <v>29.652000000000001</v>
      </c>
    </row>
    <row r="236" spans="1:21" x14ac:dyDescent="0.3">
      <c r="A236" t="s">
        <v>264</v>
      </c>
      <c r="B236">
        <v>1482</v>
      </c>
      <c r="C236">
        <v>1484.5</v>
      </c>
      <c r="D236">
        <v>1480.3</v>
      </c>
      <c r="E236">
        <v>1481.7</v>
      </c>
      <c r="F236">
        <v>30450</v>
      </c>
      <c r="G236">
        <v>0</v>
      </c>
      <c r="O236">
        <f t="shared" si="59"/>
        <v>0</v>
      </c>
      <c r="P236">
        <f t="shared" si="60"/>
        <v>0</v>
      </c>
      <c r="R236">
        <f t="shared" si="62"/>
        <v>444.78000000000003</v>
      </c>
      <c r="S236">
        <f t="shared" si="63"/>
        <v>148.17000000000002</v>
      </c>
      <c r="T236">
        <f t="shared" si="64"/>
        <v>88.956000000000003</v>
      </c>
      <c r="U236">
        <f t="shared" si="65"/>
        <v>29.634000000000007</v>
      </c>
    </row>
    <row r="237" spans="1:21" x14ac:dyDescent="0.3">
      <c r="A237" t="s">
        <v>265</v>
      </c>
      <c r="B237">
        <v>1483.7</v>
      </c>
      <c r="C237">
        <v>1484</v>
      </c>
      <c r="D237">
        <v>1481.3</v>
      </c>
      <c r="E237">
        <v>1482.3</v>
      </c>
      <c r="F237">
        <v>30312</v>
      </c>
      <c r="G237">
        <v>0</v>
      </c>
      <c r="O237">
        <f t="shared" si="59"/>
        <v>0</v>
      </c>
      <c r="P237">
        <f t="shared" si="60"/>
        <v>0</v>
      </c>
      <c r="R237">
        <f t="shared" si="62"/>
        <v>296.61</v>
      </c>
      <c r="S237">
        <f t="shared" si="63"/>
        <v>148.23000000000002</v>
      </c>
      <c r="T237">
        <f t="shared" si="64"/>
        <v>59.321999999999996</v>
      </c>
      <c r="U237">
        <f t="shared" si="65"/>
        <v>29.645999999999997</v>
      </c>
    </row>
    <row r="238" spans="1:21" x14ac:dyDescent="0.3">
      <c r="A238" t="s">
        <v>71</v>
      </c>
      <c r="B238">
        <v>1482</v>
      </c>
      <c r="C238">
        <v>1484.1</v>
      </c>
      <c r="D238">
        <v>1476.1</v>
      </c>
      <c r="E238">
        <v>1483.8</v>
      </c>
      <c r="F238">
        <v>43846</v>
      </c>
      <c r="G238">
        <v>0</v>
      </c>
      <c r="O238">
        <f t="shared" si="59"/>
        <v>0</v>
      </c>
      <c r="P238">
        <f t="shared" si="60"/>
        <v>0</v>
      </c>
      <c r="R238">
        <f t="shared" si="62"/>
        <v>148.38</v>
      </c>
      <c r="S238">
        <f t="shared" si="63"/>
        <v>148.38</v>
      </c>
      <c r="T238">
        <f t="shared" si="64"/>
        <v>29.675999999999998</v>
      </c>
      <c r="U238">
        <f t="shared" si="65"/>
        <v>29.675999999999998</v>
      </c>
    </row>
    <row r="239" spans="1:21" x14ac:dyDescent="0.3">
      <c r="O239">
        <f t="shared" si="59"/>
        <v>0</v>
      </c>
      <c r="P239">
        <f t="shared" si="60"/>
        <v>0</v>
      </c>
      <c r="R239">
        <f t="shared" si="62"/>
        <v>0</v>
      </c>
      <c r="S239">
        <f t="shared" si="63"/>
        <v>0</v>
      </c>
      <c r="T239">
        <f t="shared" si="64"/>
        <v>0</v>
      </c>
      <c r="U239">
        <f t="shared" si="65"/>
        <v>0</v>
      </c>
    </row>
    <row r="240" spans="1:21" x14ac:dyDescent="0.3">
      <c r="O240">
        <f t="shared" si="59"/>
        <v>0</v>
      </c>
      <c r="P240">
        <f t="shared" si="60"/>
        <v>0</v>
      </c>
      <c r="R240">
        <f t="shared" si="62"/>
        <v>0</v>
      </c>
      <c r="S240">
        <f t="shared" si="63"/>
        <v>0</v>
      </c>
      <c r="T240">
        <f t="shared" si="64"/>
        <v>0</v>
      </c>
      <c r="U240">
        <f t="shared" si="65"/>
        <v>0</v>
      </c>
    </row>
    <row r="241" spans="15:21" x14ac:dyDescent="0.3">
      <c r="O241">
        <f t="shared" si="59"/>
        <v>0</v>
      </c>
      <c r="P241">
        <f t="shared" si="60"/>
        <v>0</v>
      </c>
      <c r="R241">
        <f t="shared" si="62"/>
        <v>0</v>
      </c>
      <c r="S241">
        <f t="shared" si="63"/>
        <v>0</v>
      </c>
      <c r="T241">
        <f t="shared" si="64"/>
        <v>0</v>
      </c>
      <c r="U241">
        <f t="shared" si="65"/>
        <v>0</v>
      </c>
    </row>
    <row r="242" spans="15:21" x14ac:dyDescent="0.3">
      <c r="O242">
        <f t="shared" si="59"/>
        <v>0</v>
      </c>
      <c r="P242">
        <f t="shared" si="60"/>
        <v>0</v>
      </c>
      <c r="R242">
        <f t="shared" si="62"/>
        <v>0</v>
      </c>
      <c r="S242">
        <f t="shared" si="63"/>
        <v>0</v>
      </c>
      <c r="T242">
        <f t="shared" si="64"/>
        <v>0</v>
      </c>
      <c r="U242">
        <f t="shared" si="65"/>
        <v>0</v>
      </c>
    </row>
    <row r="243" spans="15:21" x14ac:dyDescent="0.3">
      <c r="O243">
        <f t="shared" si="59"/>
        <v>0</v>
      </c>
      <c r="P243">
        <f t="shared" si="60"/>
        <v>0</v>
      </c>
      <c r="R243">
        <f t="shared" si="62"/>
        <v>0</v>
      </c>
      <c r="S243">
        <f t="shared" si="63"/>
        <v>0</v>
      </c>
      <c r="T243">
        <f t="shared" si="64"/>
        <v>0</v>
      </c>
      <c r="U243">
        <f t="shared" si="65"/>
        <v>0</v>
      </c>
    </row>
    <row r="244" spans="15:21" x14ac:dyDescent="0.3">
      <c r="O244">
        <f t="shared" si="59"/>
        <v>0</v>
      </c>
      <c r="P244">
        <f t="shared" si="60"/>
        <v>0</v>
      </c>
      <c r="R244">
        <f t="shared" si="62"/>
        <v>0</v>
      </c>
      <c r="S244">
        <f t="shared" si="63"/>
        <v>0</v>
      </c>
      <c r="T244">
        <f t="shared" si="64"/>
        <v>0</v>
      </c>
      <c r="U244">
        <f t="shared" si="65"/>
        <v>0</v>
      </c>
    </row>
    <row r="245" spans="15:21" x14ac:dyDescent="0.3">
      <c r="O245">
        <f t="shared" si="59"/>
        <v>0</v>
      </c>
      <c r="P245">
        <f t="shared" si="60"/>
        <v>0</v>
      </c>
      <c r="R245">
        <f t="shared" si="62"/>
        <v>0</v>
      </c>
      <c r="S245">
        <f t="shared" si="63"/>
        <v>0</v>
      </c>
      <c r="T245">
        <f t="shared" si="64"/>
        <v>0</v>
      </c>
      <c r="U245">
        <f t="shared" si="65"/>
        <v>0</v>
      </c>
    </row>
    <row r="246" spans="15:21" x14ac:dyDescent="0.3">
      <c r="O246">
        <f t="shared" si="59"/>
        <v>0</v>
      </c>
      <c r="P246">
        <f t="shared" si="60"/>
        <v>0</v>
      </c>
      <c r="R246">
        <f t="shared" si="62"/>
        <v>0</v>
      </c>
      <c r="S246">
        <f t="shared" si="63"/>
        <v>0</v>
      </c>
      <c r="T246">
        <f t="shared" si="64"/>
        <v>0</v>
      </c>
      <c r="U246">
        <f t="shared" si="65"/>
        <v>0</v>
      </c>
    </row>
    <row r="247" spans="15:21" x14ac:dyDescent="0.3">
      <c r="O247">
        <f t="shared" si="59"/>
        <v>0</v>
      </c>
      <c r="P247">
        <f t="shared" si="60"/>
        <v>0</v>
      </c>
      <c r="R247">
        <f t="shared" si="62"/>
        <v>0</v>
      </c>
      <c r="S247">
        <f t="shared" si="63"/>
        <v>0</v>
      </c>
      <c r="T247">
        <f t="shared" si="64"/>
        <v>0</v>
      </c>
      <c r="U247">
        <f t="shared" si="65"/>
        <v>0</v>
      </c>
    </row>
    <row r="248" spans="15:21" x14ac:dyDescent="0.3">
      <c r="O248">
        <f t="shared" si="59"/>
        <v>0</v>
      </c>
      <c r="P248">
        <f t="shared" si="60"/>
        <v>0</v>
      </c>
      <c r="R248">
        <f t="shared" si="62"/>
        <v>0</v>
      </c>
      <c r="S248">
        <f t="shared" si="63"/>
        <v>0</v>
      </c>
      <c r="T248">
        <f t="shared" si="64"/>
        <v>0</v>
      </c>
      <c r="U248">
        <f t="shared" si="65"/>
        <v>0</v>
      </c>
    </row>
    <row r="249" spans="15:21" x14ac:dyDescent="0.3">
      <c r="O249">
        <f t="shared" si="59"/>
        <v>0</v>
      </c>
      <c r="P249">
        <f t="shared" si="60"/>
        <v>0</v>
      </c>
      <c r="R249">
        <f t="shared" si="62"/>
        <v>0</v>
      </c>
      <c r="S249">
        <f t="shared" si="63"/>
        <v>0</v>
      </c>
      <c r="T249">
        <f t="shared" si="64"/>
        <v>0</v>
      </c>
      <c r="U249">
        <f t="shared" si="65"/>
        <v>0</v>
      </c>
    </row>
    <row r="250" spans="15:21" x14ac:dyDescent="0.3">
      <c r="O250">
        <f t="shared" si="59"/>
        <v>0</v>
      </c>
      <c r="P250">
        <f t="shared" si="60"/>
        <v>0</v>
      </c>
      <c r="R250">
        <f t="shared" si="62"/>
        <v>0</v>
      </c>
      <c r="S250">
        <f t="shared" si="63"/>
        <v>0</v>
      </c>
      <c r="T250">
        <f t="shared" si="64"/>
        <v>0</v>
      </c>
      <c r="U250">
        <f t="shared" si="65"/>
        <v>0</v>
      </c>
    </row>
    <row r="251" spans="15:21" x14ac:dyDescent="0.3">
      <c r="O251">
        <f t="shared" si="59"/>
        <v>0</v>
      </c>
      <c r="P251">
        <f t="shared" si="60"/>
        <v>0</v>
      </c>
      <c r="R251">
        <f t="shared" si="62"/>
        <v>0</v>
      </c>
      <c r="S251">
        <f t="shared" si="63"/>
        <v>0</v>
      </c>
      <c r="T251">
        <f t="shared" si="64"/>
        <v>0</v>
      </c>
      <c r="U251">
        <f t="shared" si="65"/>
        <v>0</v>
      </c>
    </row>
    <row r="252" spans="15:21" x14ac:dyDescent="0.3">
      <c r="O252">
        <f t="shared" si="59"/>
        <v>0</v>
      </c>
      <c r="P252">
        <f t="shared" si="60"/>
        <v>0</v>
      </c>
      <c r="R252">
        <f t="shared" si="62"/>
        <v>0</v>
      </c>
      <c r="S252">
        <f t="shared" si="63"/>
        <v>0</v>
      </c>
      <c r="T252">
        <f t="shared" si="64"/>
        <v>0</v>
      </c>
      <c r="U252">
        <f t="shared" si="65"/>
        <v>0</v>
      </c>
    </row>
    <row r="253" spans="15:21" x14ac:dyDescent="0.3">
      <c r="O253">
        <f t="shared" si="59"/>
        <v>0</v>
      </c>
      <c r="P253">
        <f t="shared" si="60"/>
        <v>0</v>
      </c>
      <c r="R253">
        <f t="shared" si="62"/>
        <v>0</v>
      </c>
      <c r="S253">
        <f t="shared" si="63"/>
        <v>0</v>
      </c>
      <c r="T253">
        <f t="shared" si="64"/>
        <v>0</v>
      </c>
      <c r="U253">
        <f t="shared" si="65"/>
        <v>0</v>
      </c>
    </row>
    <row r="254" spans="15:21" x14ac:dyDescent="0.3">
      <c r="O254">
        <f t="shared" si="59"/>
        <v>0</v>
      </c>
      <c r="P254">
        <f t="shared" si="60"/>
        <v>0</v>
      </c>
      <c r="R254">
        <f t="shared" si="62"/>
        <v>0</v>
      </c>
      <c r="S254">
        <f t="shared" si="63"/>
        <v>0</v>
      </c>
      <c r="T254">
        <f t="shared" si="64"/>
        <v>0</v>
      </c>
      <c r="U254">
        <f t="shared" si="65"/>
        <v>0</v>
      </c>
    </row>
    <row r="255" spans="15:21" x14ac:dyDescent="0.3">
      <c r="O255">
        <f t="shared" si="59"/>
        <v>0</v>
      </c>
      <c r="P255">
        <f t="shared" si="60"/>
        <v>0</v>
      </c>
      <c r="R255">
        <f t="shared" si="62"/>
        <v>0</v>
      </c>
      <c r="S255">
        <f t="shared" si="63"/>
        <v>0</v>
      </c>
      <c r="T255">
        <f t="shared" si="64"/>
        <v>0</v>
      </c>
      <c r="U255">
        <f t="shared" si="65"/>
        <v>0</v>
      </c>
    </row>
    <row r="256" spans="15:21" x14ac:dyDescent="0.3">
      <c r="O256">
        <f t="shared" si="59"/>
        <v>0</v>
      </c>
      <c r="P256">
        <f t="shared" si="60"/>
        <v>0</v>
      </c>
      <c r="R256">
        <f t="shared" si="62"/>
        <v>0</v>
      </c>
      <c r="S256">
        <f t="shared" si="63"/>
        <v>0</v>
      </c>
      <c r="T256">
        <f t="shared" si="64"/>
        <v>0</v>
      </c>
      <c r="U256">
        <f t="shared" si="65"/>
        <v>0</v>
      </c>
    </row>
    <row r="257" spans="15:21" x14ac:dyDescent="0.3">
      <c r="O257">
        <f t="shared" si="59"/>
        <v>0</v>
      </c>
      <c r="P257">
        <f t="shared" si="60"/>
        <v>0</v>
      </c>
      <c r="R257">
        <f t="shared" si="62"/>
        <v>0</v>
      </c>
      <c r="S257">
        <f t="shared" si="63"/>
        <v>0</v>
      </c>
      <c r="T257">
        <f t="shared" si="64"/>
        <v>0</v>
      </c>
      <c r="U257">
        <f t="shared" si="65"/>
        <v>0</v>
      </c>
    </row>
    <row r="258" spans="15:21" x14ac:dyDescent="0.3">
      <c r="O258">
        <f t="shared" ref="O258:O269" si="69">SUM(N258:N262)</f>
        <v>0</v>
      </c>
      <c r="P258">
        <f t="shared" ref="P258:P269" si="70">SUM(N258:N267)</f>
        <v>0</v>
      </c>
      <c r="R258">
        <f t="shared" ref="R258:R269" si="71">SUM(E258:E267)/10</f>
        <v>0</v>
      </c>
      <c r="S258">
        <f t="shared" ref="S258:S269" si="72">R258-R259</f>
        <v>0</v>
      </c>
      <c r="T258">
        <f t="shared" ref="T258:T269" si="73">SUM(E258:E307)/50</f>
        <v>0</v>
      </c>
      <c r="U258">
        <f t="shared" ref="U258:U269" si="74">T258-T259</f>
        <v>0</v>
      </c>
    </row>
    <row r="259" spans="15:21" x14ac:dyDescent="0.3">
      <c r="O259">
        <f t="shared" si="69"/>
        <v>0</v>
      </c>
      <c r="P259">
        <f t="shared" si="70"/>
        <v>0</v>
      </c>
      <c r="R259">
        <f t="shared" si="71"/>
        <v>0</v>
      </c>
      <c r="S259">
        <f t="shared" si="72"/>
        <v>0</v>
      </c>
      <c r="T259">
        <f t="shared" si="73"/>
        <v>0</v>
      </c>
      <c r="U259">
        <f t="shared" si="74"/>
        <v>0</v>
      </c>
    </row>
    <row r="260" spans="15:21" x14ac:dyDescent="0.3">
      <c r="O260">
        <f t="shared" si="69"/>
        <v>0</v>
      </c>
      <c r="P260">
        <f t="shared" si="70"/>
        <v>0</v>
      </c>
      <c r="R260">
        <f t="shared" si="71"/>
        <v>0</v>
      </c>
      <c r="S260">
        <f t="shared" si="72"/>
        <v>0</v>
      </c>
      <c r="T260">
        <f t="shared" si="73"/>
        <v>0</v>
      </c>
      <c r="U260">
        <f t="shared" si="74"/>
        <v>0</v>
      </c>
    </row>
    <row r="261" spans="15:21" x14ac:dyDescent="0.3">
      <c r="O261">
        <f t="shared" si="69"/>
        <v>0</v>
      </c>
      <c r="P261">
        <f t="shared" si="70"/>
        <v>0</v>
      </c>
      <c r="R261">
        <f t="shared" si="71"/>
        <v>0</v>
      </c>
      <c r="S261">
        <f t="shared" si="72"/>
        <v>0</v>
      </c>
      <c r="T261">
        <f t="shared" si="73"/>
        <v>0</v>
      </c>
      <c r="U261">
        <f t="shared" si="74"/>
        <v>0</v>
      </c>
    </row>
    <row r="262" spans="15:21" x14ac:dyDescent="0.3">
      <c r="O262">
        <f t="shared" si="69"/>
        <v>0</v>
      </c>
      <c r="P262">
        <f t="shared" si="70"/>
        <v>0</v>
      </c>
      <c r="R262">
        <f t="shared" si="71"/>
        <v>0</v>
      </c>
      <c r="S262">
        <f t="shared" si="72"/>
        <v>0</v>
      </c>
      <c r="T262">
        <f t="shared" si="73"/>
        <v>0</v>
      </c>
      <c r="U262">
        <f t="shared" si="74"/>
        <v>0</v>
      </c>
    </row>
    <row r="263" spans="15:21" x14ac:dyDescent="0.3">
      <c r="O263">
        <f t="shared" si="69"/>
        <v>0</v>
      </c>
      <c r="P263">
        <f t="shared" si="70"/>
        <v>0</v>
      </c>
      <c r="R263">
        <f t="shared" si="71"/>
        <v>0</v>
      </c>
      <c r="S263">
        <f t="shared" si="72"/>
        <v>0</v>
      </c>
      <c r="T263">
        <f t="shared" si="73"/>
        <v>0</v>
      </c>
      <c r="U263">
        <f t="shared" si="74"/>
        <v>0</v>
      </c>
    </row>
    <row r="264" spans="15:21" x14ac:dyDescent="0.3">
      <c r="O264">
        <f t="shared" si="69"/>
        <v>0</v>
      </c>
      <c r="P264">
        <f t="shared" si="70"/>
        <v>0</v>
      </c>
      <c r="R264">
        <f t="shared" si="71"/>
        <v>0</v>
      </c>
      <c r="S264">
        <f t="shared" si="72"/>
        <v>0</v>
      </c>
      <c r="T264">
        <f t="shared" si="73"/>
        <v>0</v>
      </c>
      <c r="U264">
        <f t="shared" si="74"/>
        <v>0</v>
      </c>
    </row>
    <row r="265" spans="15:21" x14ac:dyDescent="0.3">
      <c r="O265">
        <f t="shared" si="69"/>
        <v>0</v>
      </c>
      <c r="P265">
        <f t="shared" si="70"/>
        <v>0</v>
      </c>
      <c r="R265">
        <f t="shared" si="71"/>
        <v>0</v>
      </c>
      <c r="S265">
        <f t="shared" si="72"/>
        <v>0</v>
      </c>
      <c r="T265">
        <f t="shared" si="73"/>
        <v>0</v>
      </c>
      <c r="U265">
        <f t="shared" si="74"/>
        <v>0</v>
      </c>
    </row>
    <row r="266" spans="15:21" x14ac:dyDescent="0.3">
      <c r="O266">
        <f t="shared" si="69"/>
        <v>0</v>
      </c>
      <c r="P266">
        <f t="shared" si="70"/>
        <v>0</v>
      </c>
      <c r="R266">
        <f t="shared" si="71"/>
        <v>0</v>
      </c>
      <c r="S266">
        <f t="shared" si="72"/>
        <v>0</v>
      </c>
      <c r="T266">
        <f t="shared" si="73"/>
        <v>0</v>
      </c>
      <c r="U266">
        <f t="shared" si="74"/>
        <v>0</v>
      </c>
    </row>
    <row r="267" spans="15:21" x14ac:dyDescent="0.3">
      <c r="O267">
        <f t="shared" si="69"/>
        <v>0</v>
      </c>
      <c r="P267">
        <f t="shared" si="70"/>
        <v>0</v>
      </c>
      <c r="R267">
        <f t="shared" si="71"/>
        <v>0</v>
      </c>
      <c r="S267">
        <f t="shared" si="72"/>
        <v>0</v>
      </c>
      <c r="T267">
        <f t="shared" si="73"/>
        <v>0</v>
      </c>
      <c r="U267">
        <f t="shared" si="74"/>
        <v>0</v>
      </c>
    </row>
    <row r="268" spans="15:21" x14ac:dyDescent="0.3">
      <c r="O268">
        <f t="shared" si="69"/>
        <v>0</v>
      </c>
      <c r="P268">
        <f t="shared" si="70"/>
        <v>0</v>
      </c>
      <c r="R268">
        <f t="shared" si="71"/>
        <v>0</v>
      </c>
      <c r="S268">
        <f t="shared" si="72"/>
        <v>0</v>
      </c>
      <c r="T268">
        <f t="shared" si="73"/>
        <v>0</v>
      </c>
      <c r="U268">
        <f t="shared" si="74"/>
        <v>0</v>
      </c>
    </row>
    <row r="269" spans="15:21" x14ac:dyDescent="0.3">
      <c r="O269">
        <f t="shared" si="69"/>
        <v>0</v>
      </c>
      <c r="P269">
        <f t="shared" si="70"/>
        <v>0</v>
      </c>
      <c r="R269">
        <f t="shared" si="71"/>
        <v>0</v>
      </c>
      <c r="S269">
        <f t="shared" si="72"/>
        <v>0</v>
      </c>
      <c r="T269">
        <f t="shared" si="73"/>
        <v>0</v>
      </c>
      <c r="U269">
        <f t="shared" si="74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69"/>
  <sheetViews>
    <sheetView workbookViewId="0">
      <selection activeCell="H1" sqref="H1:Y1048576"/>
    </sheetView>
  </sheetViews>
  <sheetFormatPr defaultRowHeight="14.4" x14ac:dyDescent="0.3"/>
  <cols>
    <col min="8" max="8" width="10.88671875" bestFit="1" customWidth="1"/>
    <col min="10" max="10" width="9.88671875" bestFit="1" customWidth="1"/>
    <col min="14" max="14" width="12.109375" customWidth="1"/>
    <col min="23" max="23" width="11.88671875" customWidth="1"/>
  </cols>
  <sheetData>
    <row r="1" spans="1:25" x14ac:dyDescent="0.3">
      <c r="A1" t="s">
        <v>74</v>
      </c>
      <c r="B1">
        <v>1499.3</v>
      </c>
      <c r="C1">
        <v>1501.9</v>
      </c>
      <c r="D1">
        <v>1499</v>
      </c>
      <c r="E1">
        <v>1501.9</v>
      </c>
      <c r="F1">
        <v>60824</v>
      </c>
      <c r="G1">
        <v>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</row>
    <row r="2" spans="1:25" x14ac:dyDescent="0.3">
      <c r="A2" t="s">
        <v>79</v>
      </c>
      <c r="B2">
        <v>1497.6</v>
      </c>
      <c r="C2">
        <v>1499.8</v>
      </c>
      <c r="D2">
        <v>1497</v>
      </c>
      <c r="E2">
        <v>1499.3</v>
      </c>
      <c r="F2">
        <v>82206</v>
      </c>
      <c r="G2">
        <v>0</v>
      </c>
      <c r="H2">
        <f t="shared" ref="H2:H65" si="0">E3</f>
        <v>1497.6</v>
      </c>
      <c r="I2">
        <f t="shared" ref="I2:I65" si="1">MAX(C2,H2)</f>
        <v>1499.8</v>
      </c>
      <c r="J2">
        <f t="shared" ref="J2:J65" si="2">MIN(D2,H2)</f>
        <v>1497</v>
      </c>
      <c r="K2">
        <f t="shared" ref="K2:K65" si="3">I2-J2</f>
        <v>2.7999999999999545</v>
      </c>
      <c r="L2">
        <f t="shared" ref="L2:L65" si="4">B2-E3</f>
        <v>0</v>
      </c>
      <c r="M2" t="str">
        <f t="shared" ref="M2:M65" si="5">IF(E2&gt;E3,"UP","DOWN")</f>
        <v>UP</v>
      </c>
      <c r="N2">
        <f t="shared" ref="N2:N65" si="6">E2-E3</f>
        <v>1.7000000000000455</v>
      </c>
      <c r="O2">
        <f t="shared" ref="O2:O65" si="7">SUM(N2:N6)</f>
        <v>6.2000000000000455</v>
      </c>
      <c r="P2">
        <f t="shared" ref="P2:P65" si="8">SUM(N2:N11)</f>
        <v>18</v>
      </c>
      <c r="Q2">
        <f t="shared" ref="Q2:Q65" si="9">SUM(N2:N51)</f>
        <v>1499.3</v>
      </c>
      <c r="R2">
        <f t="shared" ref="R2:R65" si="10">SUM(E2:E11)/10</f>
        <v>1491.6</v>
      </c>
      <c r="S2">
        <f t="shared" ref="S2:S65" si="11">R2-R3</f>
        <v>1.8000000000001819</v>
      </c>
      <c r="T2">
        <f t="shared" ref="T2:T65" si="12">SUM(E2:E51)/50</f>
        <v>1393.1559999999999</v>
      </c>
      <c r="U2">
        <f t="shared" ref="U2:U65" si="13">T2-T3</f>
        <v>29.986000000000331</v>
      </c>
      <c r="V2">
        <f t="shared" ref="V2:V65" si="14">SUM(E2:E101)/100</f>
        <v>696.57799999999997</v>
      </c>
      <c r="W2">
        <f t="shared" ref="W2:W65" si="15">V2-V3</f>
        <v>14.993000000000166</v>
      </c>
      <c r="X2">
        <f t="shared" ref="X2:X65" si="16">SUM(E2:E201)/200</f>
        <v>348.28899999999999</v>
      </c>
      <c r="Y2">
        <f t="shared" ref="Y2:Y39" si="17">X2-X3</f>
        <v>7.4965000000000828</v>
      </c>
    </row>
    <row r="3" spans="1:25" x14ac:dyDescent="0.3">
      <c r="A3" t="s">
        <v>84</v>
      </c>
      <c r="B3">
        <v>1497.5</v>
      </c>
      <c r="C3">
        <v>1498.5</v>
      </c>
      <c r="D3">
        <v>1495.4</v>
      </c>
      <c r="E3">
        <v>1497.6</v>
      </c>
      <c r="F3">
        <v>71456</v>
      </c>
      <c r="G3">
        <v>0</v>
      </c>
      <c r="H3">
        <f t="shared" si="0"/>
        <v>1497.5</v>
      </c>
      <c r="I3">
        <f t="shared" si="1"/>
        <v>1498.5</v>
      </c>
      <c r="J3">
        <f t="shared" si="2"/>
        <v>1495.4</v>
      </c>
      <c r="K3">
        <f t="shared" si="3"/>
        <v>3.0999999999999091</v>
      </c>
      <c r="L3">
        <f t="shared" si="4"/>
        <v>0</v>
      </c>
      <c r="M3" t="str">
        <f t="shared" si="5"/>
        <v>UP</v>
      </c>
      <c r="N3">
        <f t="shared" si="6"/>
        <v>9.9999999999909051E-2</v>
      </c>
      <c r="O3">
        <f t="shared" si="7"/>
        <v>6.6999999999998181</v>
      </c>
      <c r="P3">
        <f t="shared" si="8"/>
        <v>17</v>
      </c>
      <c r="Q3">
        <f t="shared" si="9"/>
        <v>1497.6</v>
      </c>
      <c r="R3">
        <f t="shared" si="10"/>
        <v>1489.7999999999997</v>
      </c>
      <c r="S3">
        <f t="shared" si="11"/>
        <v>1.6999999999998181</v>
      </c>
      <c r="T3">
        <f t="shared" si="12"/>
        <v>1363.1699999999996</v>
      </c>
      <c r="U3">
        <f t="shared" si="13"/>
        <v>29.951999999999771</v>
      </c>
      <c r="V3">
        <f t="shared" si="14"/>
        <v>681.58499999999981</v>
      </c>
      <c r="W3">
        <f t="shared" si="15"/>
        <v>14.975999999999885</v>
      </c>
      <c r="X3">
        <f t="shared" si="16"/>
        <v>340.7924999999999</v>
      </c>
      <c r="Y3">
        <f t="shared" si="17"/>
        <v>7.4879999999999427</v>
      </c>
    </row>
    <row r="4" spans="1:25" x14ac:dyDescent="0.3">
      <c r="A4" t="s">
        <v>89</v>
      </c>
      <c r="B4">
        <v>1497.8</v>
      </c>
      <c r="C4">
        <v>1500</v>
      </c>
      <c r="D4">
        <v>1497</v>
      </c>
      <c r="E4">
        <v>1497.5</v>
      </c>
      <c r="F4">
        <v>94282</v>
      </c>
      <c r="G4">
        <v>0</v>
      </c>
      <c r="H4">
        <f t="shared" si="0"/>
        <v>1498</v>
      </c>
      <c r="I4">
        <f t="shared" si="1"/>
        <v>1500</v>
      </c>
      <c r="J4">
        <f t="shared" si="2"/>
        <v>1497</v>
      </c>
      <c r="K4">
        <f t="shared" si="3"/>
        <v>3</v>
      </c>
      <c r="L4">
        <f t="shared" si="4"/>
        <v>-0.20000000000004547</v>
      </c>
      <c r="M4" t="str">
        <f t="shared" si="5"/>
        <v>DOWN</v>
      </c>
      <c r="N4">
        <f t="shared" si="6"/>
        <v>-0.5</v>
      </c>
      <c r="O4">
        <f t="shared" si="7"/>
        <v>13.599999999999909</v>
      </c>
      <c r="P4">
        <f t="shared" si="8"/>
        <v>17.900000000000091</v>
      </c>
      <c r="Q4">
        <f t="shared" si="9"/>
        <v>1497.5</v>
      </c>
      <c r="R4">
        <f t="shared" si="10"/>
        <v>1488.1</v>
      </c>
      <c r="S4">
        <f t="shared" si="11"/>
        <v>1.7899999999999636</v>
      </c>
      <c r="T4">
        <f t="shared" si="12"/>
        <v>1333.2179999999998</v>
      </c>
      <c r="U4">
        <f t="shared" si="13"/>
        <v>29.950000000000045</v>
      </c>
      <c r="V4">
        <f t="shared" si="14"/>
        <v>666.60899999999992</v>
      </c>
      <c r="W4">
        <f t="shared" si="15"/>
        <v>14.975000000000023</v>
      </c>
      <c r="X4">
        <f t="shared" si="16"/>
        <v>333.30449999999996</v>
      </c>
      <c r="Y4">
        <f t="shared" si="17"/>
        <v>7.4875000000000114</v>
      </c>
    </row>
    <row r="5" spans="1:25" x14ac:dyDescent="0.3">
      <c r="A5" t="s">
        <v>10</v>
      </c>
      <c r="B5">
        <v>1494.3</v>
      </c>
      <c r="C5">
        <v>1498.1</v>
      </c>
      <c r="D5">
        <v>1494</v>
      </c>
      <c r="E5">
        <v>1498</v>
      </c>
      <c r="F5">
        <v>142207</v>
      </c>
      <c r="G5">
        <v>0</v>
      </c>
      <c r="H5">
        <f t="shared" si="0"/>
        <v>1494.3</v>
      </c>
      <c r="I5">
        <f t="shared" si="1"/>
        <v>1498.1</v>
      </c>
      <c r="J5">
        <f t="shared" si="2"/>
        <v>1494</v>
      </c>
      <c r="K5">
        <f t="shared" si="3"/>
        <v>4.0999999999999091</v>
      </c>
      <c r="L5">
        <f t="shared" si="4"/>
        <v>0</v>
      </c>
      <c r="M5" t="str">
        <f t="shared" si="5"/>
        <v>UP</v>
      </c>
      <c r="N5">
        <f t="shared" si="6"/>
        <v>3.7000000000000455</v>
      </c>
      <c r="O5">
        <f t="shared" si="7"/>
        <v>16.900000000000091</v>
      </c>
      <c r="P5">
        <f t="shared" si="8"/>
        <v>17.599999999999909</v>
      </c>
      <c r="Q5">
        <f t="shared" si="9"/>
        <v>1498</v>
      </c>
      <c r="R5">
        <f t="shared" si="10"/>
        <v>1486.31</v>
      </c>
      <c r="S5">
        <f t="shared" si="11"/>
        <v>1.7600000000002183</v>
      </c>
      <c r="T5">
        <f t="shared" si="12"/>
        <v>1303.2679999999998</v>
      </c>
      <c r="U5">
        <f t="shared" si="13"/>
        <v>29.959999999999809</v>
      </c>
      <c r="V5">
        <f t="shared" si="14"/>
        <v>651.6339999999999</v>
      </c>
      <c r="W5">
        <f t="shared" si="15"/>
        <v>14.979999999999905</v>
      </c>
      <c r="X5">
        <f t="shared" si="16"/>
        <v>325.81699999999995</v>
      </c>
      <c r="Y5">
        <f t="shared" si="17"/>
        <v>7.4899999999999523</v>
      </c>
    </row>
    <row r="6" spans="1:25" x14ac:dyDescent="0.3">
      <c r="A6" t="s">
        <v>29</v>
      </c>
      <c r="B6">
        <v>1492.9</v>
      </c>
      <c r="C6">
        <v>1494.4</v>
      </c>
      <c r="D6">
        <v>1492.3</v>
      </c>
      <c r="E6">
        <v>1494.3</v>
      </c>
      <c r="F6">
        <v>66173</v>
      </c>
      <c r="G6">
        <v>0</v>
      </c>
      <c r="H6">
        <f t="shared" si="0"/>
        <v>1493.1</v>
      </c>
      <c r="I6">
        <f t="shared" si="1"/>
        <v>1494.4</v>
      </c>
      <c r="J6">
        <f t="shared" si="2"/>
        <v>1492.3</v>
      </c>
      <c r="K6">
        <f t="shared" si="3"/>
        <v>2.1000000000001364</v>
      </c>
      <c r="L6">
        <f t="shared" si="4"/>
        <v>-0.1999999999998181</v>
      </c>
      <c r="M6" t="str">
        <f t="shared" si="5"/>
        <v>UP</v>
      </c>
      <c r="N6">
        <f t="shared" si="6"/>
        <v>1.2000000000000455</v>
      </c>
      <c r="O6">
        <f t="shared" si="7"/>
        <v>14</v>
      </c>
      <c r="P6">
        <f t="shared" si="8"/>
        <v>14.399999999999864</v>
      </c>
      <c r="Q6">
        <f t="shared" si="9"/>
        <v>1494.3</v>
      </c>
      <c r="R6">
        <f t="shared" si="10"/>
        <v>1484.5499999999997</v>
      </c>
      <c r="S6">
        <f t="shared" si="11"/>
        <v>1.4399999999995998</v>
      </c>
      <c r="T6">
        <f t="shared" si="12"/>
        <v>1273.308</v>
      </c>
      <c r="U6">
        <f t="shared" si="13"/>
        <v>29.885999999999967</v>
      </c>
      <c r="V6">
        <f t="shared" si="14"/>
        <v>636.654</v>
      </c>
      <c r="W6">
        <f t="shared" si="15"/>
        <v>14.942999999999984</v>
      </c>
      <c r="X6">
        <f t="shared" si="16"/>
        <v>318.327</v>
      </c>
      <c r="Y6">
        <f t="shared" si="17"/>
        <v>7.4714999999999918</v>
      </c>
    </row>
    <row r="7" spans="1:25" x14ac:dyDescent="0.3">
      <c r="A7" t="s">
        <v>30</v>
      </c>
      <c r="B7">
        <v>1490.8</v>
      </c>
      <c r="C7">
        <v>1495.6</v>
      </c>
      <c r="D7">
        <v>1490.2</v>
      </c>
      <c r="E7">
        <v>1493.1</v>
      </c>
      <c r="F7">
        <v>89983</v>
      </c>
      <c r="G7">
        <v>0</v>
      </c>
      <c r="H7">
        <f t="shared" si="0"/>
        <v>1490.9</v>
      </c>
      <c r="I7">
        <f t="shared" si="1"/>
        <v>1495.6</v>
      </c>
      <c r="J7">
        <f t="shared" si="2"/>
        <v>1490.2</v>
      </c>
      <c r="K7">
        <f t="shared" si="3"/>
        <v>5.3999999999998636</v>
      </c>
      <c r="L7">
        <f t="shared" si="4"/>
        <v>-0.10000000000013642</v>
      </c>
      <c r="M7" t="str">
        <f t="shared" si="5"/>
        <v>UP</v>
      </c>
      <c r="N7">
        <f t="shared" si="6"/>
        <v>2.1999999999998181</v>
      </c>
      <c r="O7">
        <f t="shared" si="7"/>
        <v>11.799999999999955</v>
      </c>
      <c r="P7">
        <f t="shared" si="8"/>
        <v>14.799999999999955</v>
      </c>
      <c r="Q7">
        <f t="shared" si="9"/>
        <v>1493.1</v>
      </c>
      <c r="R7">
        <f t="shared" si="10"/>
        <v>1483.1100000000001</v>
      </c>
      <c r="S7">
        <f t="shared" si="11"/>
        <v>1.4800000000002456</v>
      </c>
      <c r="T7">
        <f t="shared" si="12"/>
        <v>1243.422</v>
      </c>
      <c r="U7">
        <f t="shared" si="13"/>
        <v>29.86200000000008</v>
      </c>
      <c r="V7">
        <f t="shared" si="14"/>
        <v>621.71100000000001</v>
      </c>
      <c r="W7">
        <f t="shared" si="15"/>
        <v>14.93100000000004</v>
      </c>
      <c r="X7">
        <f t="shared" si="16"/>
        <v>310.85550000000001</v>
      </c>
      <c r="Y7">
        <f t="shared" si="17"/>
        <v>7.46550000000002</v>
      </c>
    </row>
    <row r="8" spans="1:25" x14ac:dyDescent="0.3">
      <c r="A8" t="s">
        <v>31</v>
      </c>
      <c r="B8">
        <v>1483.9</v>
      </c>
      <c r="C8">
        <v>1492</v>
      </c>
      <c r="D8">
        <v>1482.9</v>
      </c>
      <c r="E8">
        <v>1490.9</v>
      </c>
      <c r="F8">
        <v>197398</v>
      </c>
      <c r="G8">
        <v>0</v>
      </c>
      <c r="H8">
        <f t="shared" si="0"/>
        <v>1483.9</v>
      </c>
      <c r="I8">
        <f t="shared" si="1"/>
        <v>1492</v>
      </c>
      <c r="J8">
        <f t="shared" si="2"/>
        <v>1482.9</v>
      </c>
      <c r="K8">
        <f t="shared" si="3"/>
        <v>9.0999999999999091</v>
      </c>
      <c r="L8">
        <f t="shared" si="4"/>
        <v>0</v>
      </c>
      <c r="M8" t="str">
        <f t="shared" si="5"/>
        <v>UP</v>
      </c>
      <c r="N8">
        <f t="shared" si="6"/>
        <v>7</v>
      </c>
      <c r="O8">
        <f t="shared" si="7"/>
        <v>10.300000000000182</v>
      </c>
      <c r="P8">
        <f t="shared" si="8"/>
        <v>10.600000000000136</v>
      </c>
      <c r="Q8">
        <f t="shared" si="9"/>
        <v>1490.9</v>
      </c>
      <c r="R8">
        <f t="shared" si="10"/>
        <v>1481.6299999999999</v>
      </c>
      <c r="S8">
        <f t="shared" si="11"/>
        <v>1.0599999999999454</v>
      </c>
      <c r="T8">
        <f t="shared" si="12"/>
        <v>1213.56</v>
      </c>
      <c r="U8">
        <f t="shared" si="13"/>
        <v>29.818000000000211</v>
      </c>
      <c r="V8">
        <f t="shared" si="14"/>
        <v>606.78</v>
      </c>
      <c r="W8">
        <f t="shared" si="15"/>
        <v>14.909000000000106</v>
      </c>
      <c r="X8">
        <f t="shared" si="16"/>
        <v>303.39</v>
      </c>
      <c r="Y8">
        <f t="shared" si="17"/>
        <v>7.4545000000000528</v>
      </c>
    </row>
    <row r="9" spans="1:25" x14ac:dyDescent="0.3">
      <c r="A9" t="s">
        <v>32</v>
      </c>
      <c r="B9">
        <v>1481</v>
      </c>
      <c r="C9">
        <v>1484</v>
      </c>
      <c r="D9">
        <v>1481</v>
      </c>
      <c r="E9">
        <v>1483.9</v>
      </c>
      <c r="F9">
        <v>72236</v>
      </c>
      <c r="G9">
        <v>0</v>
      </c>
      <c r="H9">
        <f t="shared" si="0"/>
        <v>1481.1</v>
      </c>
      <c r="I9">
        <f t="shared" si="1"/>
        <v>1484</v>
      </c>
      <c r="J9">
        <f t="shared" si="2"/>
        <v>1481</v>
      </c>
      <c r="K9">
        <f t="shared" si="3"/>
        <v>3</v>
      </c>
      <c r="L9">
        <f t="shared" si="4"/>
        <v>-9.9999999999909051E-2</v>
      </c>
      <c r="M9" t="str">
        <f t="shared" si="5"/>
        <v>UP</v>
      </c>
      <c r="N9">
        <f t="shared" si="6"/>
        <v>2.8000000000001819</v>
      </c>
      <c r="O9">
        <f t="shared" si="7"/>
        <v>4.3000000000001819</v>
      </c>
      <c r="P9">
        <f t="shared" si="8"/>
        <v>3.8000000000001819</v>
      </c>
      <c r="Q9">
        <f t="shared" si="9"/>
        <v>1483.9</v>
      </c>
      <c r="R9">
        <f t="shared" si="10"/>
        <v>1480.57</v>
      </c>
      <c r="S9">
        <f t="shared" si="11"/>
        <v>0.38000000000010914</v>
      </c>
      <c r="T9">
        <f t="shared" si="12"/>
        <v>1183.7419999999997</v>
      </c>
      <c r="U9">
        <f t="shared" si="13"/>
        <v>29.677999999999884</v>
      </c>
      <c r="V9">
        <f t="shared" si="14"/>
        <v>591.87099999999987</v>
      </c>
      <c r="W9">
        <f t="shared" si="15"/>
        <v>14.838999999999942</v>
      </c>
      <c r="X9">
        <f t="shared" si="16"/>
        <v>295.93549999999993</v>
      </c>
      <c r="Y9">
        <f t="shared" si="17"/>
        <v>7.4194999999999709</v>
      </c>
    </row>
    <row r="10" spans="1:25" x14ac:dyDescent="0.3">
      <c r="A10" t="s">
        <v>33</v>
      </c>
      <c r="B10">
        <v>1480.5</v>
      </c>
      <c r="C10">
        <v>1481.1</v>
      </c>
      <c r="D10">
        <v>1480</v>
      </c>
      <c r="E10">
        <v>1481.1</v>
      </c>
      <c r="F10">
        <v>29309</v>
      </c>
      <c r="G10">
        <v>0</v>
      </c>
      <c r="H10">
        <f t="shared" si="0"/>
        <v>1480.3</v>
      </c>
      <c r="I10">
        <f t="shared" si="1"/>
        <v>1481.1</v>
      </c>
      <c r="J10">
        <f t="shared" si="2"/>
        <v>1480</v>
      </c>
      <c r="K10">
        <f t="shared" si="3"/>
        <v>1.0999999999999091</v>
      </c>
      <c r="L10">
        <f t="shared" si="4"/>
        <v>0.20000000000004547</v>
      </c>
      <c r="M10" t="str">
        <f t="shared" si="5"/>
        <v>UP</v>
      </c>
      <c r="N10">
        <f t="shared" si="6"/>
        <v>0.79999999999995453</v>
      </c>
      <c r="O10">
        <f t="shared" si="7"/>
        <v>0.6999999999998181</v>
      </c>
      <c r="P10">
        <f t="shared" si="8"/>
        <v>0.79999999999995453</v>
      </c>
      <c r="Q10">
        <f t="shared" si="9"/>
        <v>1481.1</v>
      </c>
      <c r="R10">
        <f t="shared" si="10"/>
        <v>1480.1899999999998</v>
      </c>
      <c r="S10">
        <f t="shared" si="11"/>
        <v>8.0000000000154614E-2</v>
      </c>
      <c r="T10">
        <f t="shared" si="12"/>
        <v>1154.0639999999999</v>
      </c>
      <c r="U10">
        <f t="shared" si="13"/>
        <v>29.621999999999844</v>
      </c>
      <c r="V10">
        <f t="shared" si="14"/>
        <v>577.03199999999993</v>
      </c>
      <c r="W10">
        <f t="shared" si="15"/>
        <v>14.810999999999922</v>
      </c>
      <c r="X10">
        <f t="shared" si="16"/>
        <v>288.51599999999996</v>
      </c>
      <c r="Y10">
        <f t="shared" si="17"/>
        <v>7.4054999999999609</v>
      </c>
    </row>
    <row r="11" spans="1:25" x14ac:dyDescent="0.3">
      <c r="A11" t="s">
        <v>34</v>
      </c>
      <c r="B11">
        <v>1481</v>
      </c>
      <c r="C11">
        <v>1481.3</v>
      </c>
      <c r="D11">
        <v>1480</v>
      </c>
      <c r="E11">
        <v>1480.3</v>
      </c>
      <c r="F11">
        <v>26354</v>
      </c>
      <c r="G11">
        <v>0</v>
      </c>
      <c r="H11">
        <f t="shared" si="0"/>
        <v>1481.3</v>
      </c>
      <c r="I11">
        <f t="shared" si="1"/>
        <v>1481.3</v>
      </c>
      <c r="J11">
        <f t="shared" si="2"/>
        <v>1480</v>
      </c>
      <c r="K11">
        <f t="shared" si="3"/>
        <v>1.2999999999999545</v>
      </c>
      <c r="L11">
        <f t="shared" si="4"/>
        <v>-0.29999999999995453</v>
      </c>
      <c r="M11" t="str">
        <f t="shared" si="5"/>
        <v>DOWN</v>
      </c>
      <c r="N11">
        <f t="shared" si="6"/>
        <v>-1</v>
      </c>
      <c r="O11">
        <f t="shared" si="7"/>
        <v>0.39999999999986358</v>
      </c>
      <c r="P11">
        <f t="shared" si="8"/>
        <v>-0.79999999999995453</v>
      </c>
      <c r="Q11">
        <f t="shared" si="9"/>
        <v>1480.3</v>
      </c>
      <c r="R11">
        <f t="shared" si="10"/>
        <v>1480.1099999999997</v>
      </c>
      <c r="S11">
        <f t="shared" si="11"/>
        <v>-8.0000000000154614E-2</v>
      </c>
      <c r="T11">
        <f t="shared" si="12"/>
        <v>1124.442</v>
      </c>
      <c r="U11">
        <f t="shared" si="13"/>
        <v>29.605999999999995</v>
      </c>
      <c r="V11">
        <f t="shared" si="14"/>
        <v>562.221</v>
      </c>
      <c r="W11">
        <f t="shared" si="15"/>
        <v>14.802999999999997</v>
      </c>
      <c r="X11">
        <f t="shared" si="16"/>
        <v>281.1105</v>
      </c>
      <c r="Y11">
        <f t="shared" si="17"/>
        <v>7.4014999999999986</v>
      </c>
    </row>
    <row r="12" spans="1:25" x14ac:dyDescent="0.3">
      <c r="A12" t="s">
        <v>35</v>
      </c>
      <c r="B12">
        <v>1480.6</v>
      </c>
      <c r="C12">
        <v>1481.3</v>
      </c>
      <c r="D12">
        <v>1479.9</v>
      </c>
      <c r="E12">
        <v>1481.3</v>
      </c>
      <c r="F12">
        <v>26809</v>
      </c>
      <c r="G12">
        <v>0</v>
      </c>
      <c r="H12">
        <f t="shared" si="0"/>
        <v>1480.6</v>
      </c>
      <c r="I12">
        <f t="shared" si="1"/>
        <v>1481.3</v>
      </c>
      <c r="J12">
        <f t="shared" si="2"/>
        <v>1479.9</v>
      </c>
      <c r="K12">
        <f t="shared" si="3"/>
        <v>1.3999999999998636</v>
      </c>
      <c r="L12">
        <f t="shared" si="4"/>
        <v>0</v>
      </c>
      <c r="M12" t="str">
        <f t="shared" si="5"/>
        <v>UP</v>
      </c>
      <c r="N12">
        <f t="shared" si="6"/>
        <v>0.70000000000004547</v>
      </c>
      <c r="O12">
        <f t="shared" si="7"/>
        <v>3</v>
      </c>
      <c r="P12">
        <f t="shared" si="8"/>
        <v>0.5</v>
      </c>
      <c r="Q12">
        <f t="shared" si="9"/>
        <v>1481.3</v>
      </c>
      <c r="R12">
        <f t="shared" si="10"/>
        <v>1480.1899999999998</v>
      </c>
      <c r="S12">
        <f t="shared" si="11"/>
        <v>4.9999999999954525E-2</v>
      </c>
      <c r="T12">
        <f t="shared" si="12"/>
        <v>1094.836</v>
      </c>
      <c r="U12">
        <f t="shared" si="13"/>
        <v>29.625999999999976</v>
      </c>
      <c r="V12">
        <f t="shared" si="14"/>
        <v>547.41800000000001</v>
      </c>
      <c r="W12">
        <f t="shared" si="15"/>
        <v>14.812999999999988</v>
      </c>
      <c r="X12">
        <f t="shared" si="16"/>
        <v>273.709</v>
      </c>
      <c r="Y12">
        <f t="shared" si="17"/>
        <v>7.4064999999999941</v>
      </c>
    </row>
    <row r="13" spans="1:25" x14ac:dyDescent="0.3">
      <c r="A13" t="s">
        <v>36</v>
      </c>
      <c r="B13">
        <v>1480</v>
      </c>
      <c r="C13">
        <v>1481</v>
      </c>
      <c r="D13">
        <v>1479.5</v>
      </c>
      <c r="E13">
        <v>1480.6</v>
      </c>
      <c r="F13">
        <v>26034</v>
      </c>
      <c r="G13">
        <v>0</v>
      </c>
      <c r="H13">
        <f t="shared" si="0"/>
        <v>1479.6</v>
      </c>
      <c r="I13">
        <f t="shared" si="1"/>
        <v>1481</v>
      </c>
      <c r="J13">
        <f t="shared" si="2"/>
        <v>1479.5</v>
      </c>
      <c r="K13">
        <f t="shared" si="3"/>
        <v>1.5</v>
      </c>
      <c r="L13">
        <f t="shared" si="4"/>
        <v>0.40000000000009095</v>
      </c>
      <c r="M13" t="str">
        <f t="shared" si="5"/>
        <v>UP</v>
      </c>
      <c r="N13">
        <f t="shared" si="6"/>
        <v>1</v>
      </c>
      <c r="O13">
        <f t="shared" si="7"/>
        <v>0.29999999999995453</v>
      </c>
      <c r="P13">
        <f t="shared" si="8"/>
        <v>-1</v>
      </c>
      <c r="Q13">
        <f t="shared" si="9"/>
        <v>1480.6</v>
      </c>
      <c r="R13">
        <f t="shared" si="10"/>
        <v>1480.1399999999999</v>
      </c>
      <c r="S13">
        <f t="shared" si="11"/>
        <v>-0.10000000000013642</v>
      </c>
      <c r="T13">
        <f t="shared" si="12"/>
        <v>1065.21</v>
      </c>
      <c r="U13">
        <f t="shared" si="13"/>
        <v>29.61200000000008</v>
      </c>
      <c r="V13">
        <f t="shared" si="14"/>
        <v>532.60500000000002</v>
      </c>
      <c r="W13">
        <f t="shared" si="15"/>
        <v>14.80600000000004</v>
      </c>
      <c r="X13">
        <f t="shared" si="16"/>
        <v>266.30250000000001</v>
      </c>
      <c r="Y13">
        <f t="shared" si="17"/>
        <v>7.40300000000002</v>
      </c>
    </row>
    <row r="14" spans="1:25" x14ac:dyDescent="0.3">
      <c r="A14" t="s">
        <v>37</v>
      </c>
      <c r="B14">
        <v>1480.1</v>
      </c>
      <c r="C14">
        <v>1480.5</v>
      </c>
      <c r="D14">
        <v>1479.2</v>
      </c>
      <c r="E14">
        <v>1479.6</v>
      </c>
      <c r="F14">
        <v>30760</v>
      </c>
      <c r="G14">
        <v>0</v>
      </c>
      <c r="H14">
        <f t="shared" si="0"/>
        <v>1480.4</v>
      </c>
      <c r="I14">
        <f t="shared" si="1"/>
        <v>1480.5</v>
      </c>
      <c r="J14">
        <f t="shared" si="2"/>
        <v>1479.2</v>
      </c>
      <c r="K14">
        <f t="shared" si="3"/>
        <v>1.2999999999999545</v>
      </c>
      <c r="L14">
        <f t="shared" si="4"/>
        <v>-0.3000000000001819</v>
      </c>
      <c r="M14" t="str">
        <f t="shared" si="5"/>
        <v>DOWN</v>
      </c>
      <c r="N14">
        <f t="shared" si="6"/>
        <v>-0.8000000000001819</v>
      </c>
      <c r="O14">
        <f t="shared" si="7"/>
        <v>-0.5</v>
      </c>
      <c r="P14">
        <f t="shared" si="8"/>
        <v>-0.5</v>
      </c>
      <c r="Q14">
        <f t="shared" si="9"/>
        <v>1479.6</v>
      </c>
      <c r="R14">
        <f t="shared" si="10"/>
        <v>1480.24</v>
      </c>
      <c r="S14">
        <f t="shared" si="11"/>
        <v>-4.9999999999954525E-2</v>
      </c>
      <c r="T14">
        <f t="shared" si="12"/>
        <v>1035.598</v>
      </c>
      <c r="U14">
        <f t="shared" si="13"/>
        <v>29.592000000000098</v>
      </c>
      <c r="V14">
        <f t="shared" si="14"/>
        <v>517.79899999999998</v>
      </c>
      <c r="W14">
        <f t="shared" si="15"/>
        <v>14.796000000000049</v>
      </c>
      <c r="X14">
        <f t="shared" si="16"/>
        <v>258.89949999999999</v>
      </c>
      <c r="Y14">
        <f t="shared" si="17"/>
        <v>7.3980000000000246</v>
      </c>
    </row>
    <row r="15" spans="1:25" x14ac:dyDescent="0.3">
      <c r="A15" t="s">
        <v>38</v>
      </c>
      <c r="B15">
        <v>1479.9</v>
      </c>
      <c r="C15">
        <v>1480.4</v>
      </c>
      <c r="D15">
        <v>1479</v>
      </c>
      <c r="E15">
        <v>1480.4</v>
      </c>
      <c r="F15">
        <v>82321</v>
      </c>
      <c r="G15">
        <v>0</v>
      </c>
      <c r="H15">
        <f t="shared" si="0"/>
        <v>1479.9</v>
      </c>
      <c r="I15">
        <f t="shared" si="1"/>
        <v>1480.4</v>
      </c>
      <c r="J15">
        <f t="shared" si="2"/>
        <v>1479</v>
      </c>
      <c r="K15">
        <f t="shared" si="3"/>
        <v>1.4000000000000909</v>
      </c>
      <c r="L15">
        <f t="shared" si="4"/>
        <v>0</v>
      </c>
      <c r="M15" t="str">
        <f t="shared" si="5"/>
        <v>UP</v>
      </c>
      <c r="N15">
        <f t="shared" si="6"/>
        <v>0.5</v>
      </c>
      <c r="O15">
        <f t="shared" si="7"/>
        <v>0.10000000000013642</v>
      </c>
      <c r="P15">
        <f t="shared" si="8"/>
        <v>-1</v>
      </c>
      <c r="Q15">
        <f t="shared" si="9"/>
        <v>1480.4</v>
      </c>
      <c r="R15">
        <f t="shared" si="10"/>
        <v>1480.29</v>
      </c>
      <c r="S15">
        <f t="shared" si="11"/>
        <v>-9.9999999999909051E-2</v>
      </c>
      <c r="T15">
        <f t="shared" si="12"/>
        <v>1006.0059999999999</v>
      </c>
      <c r="U15">
        <f t="shared" si="13"/>
        <v>29.607999999999947</v>
      </c>
      <c r="V15">
        <f t="shared" si="14"/>
        <v>503.00299999999993</v>
      </c>
      <c r="W15">
        <f t="shared" si="15"/>
        <v>14.803999999999974</v>
      </c>
      <c r="X15">
        <f t="shared" si="16"/>
        <v>251.50149999999996</v>
      </c>
      <c r="Y15">
        <f t="shared" si="17"/>
        <v>7.4019999999999868</v>
      </c>
    </row>
    <row r="16" spans="1:25" x14ac:dyDescent="0.3">
      <c r="A16" t="s">
        <v>39</v>
      </c>
      <c r="B16">
        <v>1478.2</v>
      </c>
      <c r="C16">
        <v>1480</v>
      </c>
      <c r="D16">
        <v>1478</v>
      </c>
      <c r="E16">
        <v>1479.9</v>
      </c>
      <c r="F16">
        <v>39817</v>
      </c>
      <c r="G16">
        <v>0</v>
      </c>
      <c r="H16">
        <f t="shared" si="0"/>
        <v>1478.3</v>
      </c>
      <c r="I16">
        <f t="shared" si="1"/>
        <v>1480</v>
      </c>
      <c r="J16">
        <f t="shared" si="2"/>
        <v>1478</v>
      </c>
      <c r="K16">
        <f t="shared" si="3"/>
        <v>2</v>
      </c>
      <c r="L16">
        <f t="shared" si="4"/>
        <v>-9.9999999999909051E-2</v>
      </c>
      <c r="M16" t="str">
        <f t="shared" si="5"/>
        <v>UP</v>
      </c>
      <c r="N16">
        <f t="shared" si="6"/>
        <v>1.6000000000001364</v>
      </c>
      <c r="O16">
        <f t="shared" si="7"/>
        <v>-1.1999999999998181</v>
      </c>
      <c r="P16">
        <f t="shared" si="8"/>
        <v>-2.7999999999999545</v>
      </c>
      <c r="Q16">
        <f t="shared" si="9"/>
        <v>1479.9</v>
      </c>
      <c r="R16">
        <f t="shared" si="10"/>
        <v>1480.3899999999999</v>
      </c>
      <c r="S16">
        <f t="shared" si="11"/>
        <v>-0.28000000000020009</v>
      </c>
      <c r="T16">
        <f t="shared" si="12"/>
        <v>976.39799999999991</v>
      </c>
      <c r="U16">
        <f t="shared" si="13"/>
        <v>29.59800000000007</v>
      </c>
      <c r="V16">
        <f t="shared" si="14"/>
        <v>488.19899999999996</v>
      </c>
      <c r="W16">
        <f t="shared" si="15"/>
        <v>14.799000000000035</v>
      </c>
      <c r="X16">
        <f t="shared" si="16"/>
        <v>244.09949999999998</v>
      </c>
      <c r="Y16">
        <f t="shared" si="17"/>
        <v>7.3995000000000175</v>
      </c>
    </row>
    <row r="17" spans="1:25" x14ac:dyDescent="0.3">
      <c r="A17" t="s">
        <v>40</v>
      </c>
      <c r="B17">
        <v>1480</v>
      </c>
      <c r="C17">
        <v>1480.5</v>
      </c>
      <c r="D17">
        <v>1477</v>
      </c>
      <c r="E17">
        <v>1478.3</v>
      </c>
      <c r="F17">
        <v>65132</v>
      </c>
      <c r="G17">
        <v>0</v>
      </c>
      <c r="H17">
        <f t="shared" si="0"/>
        <v>1480.3</v>
      </c>
      <c r="I17">
        <f t="shared" si="1"/>
        <v>1480.5</v>
      </c>
      <c r="J17">
        <f t="shared" si="2"/>
        <v>1477</v>
      </c>
      <c r="K17">
        <f t="shared" si="3"/>
        <v>3.5</v>
      </c>
      <c r="L17">
        <f t="shared" si="4"/>
        <v>-0.29999999999995453</v>
      </c>
      <c r="M17" t="str">
        <f t="shared" si="5"/>
        <v>DOWN</v>
      </c>
      <c r="N17">
        <f t="shared" si="6"/>
        <v>-2</v>
      </c>
      <c r="O17">
        <f t="shared" si="7"/>
        <v>-2.5</v>
      </c>
      <c r="P17">
        <f t="shared" si="8"/>
        <v>-1.7000000000000455</v>
      </c>
      <c r="Q17">
        <f t="shared" si="9"/>
        <v>1478.3</v>
      </c>
      <c r="R17">
        <f t="shared" si="10"/>
        <v>1480.67</v>
      </c>
      <c r="S17">
        <f t="shared" si="11"/>
        <v>-0.16999999999984539</v>
      </c>
      <c r="T17">
        <f t="shared" si="12"/>
        <v>946.79999999999984</v>
      </c>
      <c r="U17">
        <f t="shared" si="13"/>
        <v>29.565999999999917</v>
      </c>
      <c r="V17">
        <f t="shared" si="14"/>
        <v>473.39999999999992</v>
      </c>
      <c r="W17">
        <f t="shared" si="15"/>
        <v>14.782999999999959</v>
      </c>
      <c r="X17">
        <f t="shared" si="16"/>
        <v>236.69999999999996</v>
      </c>
      <c r="Y17">
        <f t="shared" si="17"/>
        <v>7.3914999999999793</v>
      </c>
    </row>
    <row r="18" spans="1:25" x14ac:dyDescent="0.3">
      <c r="A18" t="s">
        <v>41</v>
      </c>
      <c r="B18">
        <v>1480.1</v>
      </c>
      <c r="C18">
        <v>1480.7</v>
      </c>
      <c r="D18">
        <v>1480</v>
      </c>
      <c r="E18">
        <v>1480.3</v>
      </c>
      <c r="F18">
        <v>43670</v>
      </c>
      <c r="G18">
        <v>0</v>
      </c>
      <c r="H18">
        <f t="shared" si="0"/>
        <v>1480.1</v>
      </c>
      <c r="I18">
        <f t="shared" si="1"/>
        <v>1480.7</v>
      </c>
      <c r="J18">
        <f t="shared" si="2"/>
        <v>1480</v>
      </c>
      <c r="K18">
        <f t="shared" si="3"/>
        <v>0.70000000000004547</v>
      </c>
      <c r="L18">
        <f t="shared" si="4"/>
        <v>0</v>
      </c>
      <c r="M18" t="str">
        <f t="shared" si="5"/>
        <v>UP</v>
      </c>
      <c r="N18">
        <f t="shared" si="6"/>
        <v>0.20000000000004547</v>
      </c>
      <c r="O18">
        <f t="shared" si="7"/>
        <v>-1.2999999999999545</v>
      </c>
      <c r="P18">
        <f t="shared" si="8"/>
        <v>0.89999999999986358</v>
      </c>
      <c r="Q18">
        <f t="shared" si="9"/>
        <v>1480.3</v>
      </c>
      <c r="R18">
        <f t="shared" si="10"/>
        <v>1480.84</v>
      </c>
      <c r="S18">
        <f t="shared" si="11"/>
        <v>8.9999999999918145E-2</v>
      </c>
      <c r="T18">
        <f t="shared" si="12"/>
        <v>917.23399999999992</v>
      </c>
      <c r="U18">
        <f t="shared" si="13"/>
        <v>29.605999999999881</v>
      </c>
      <c r="V18">
        <f t="shared" si="14"/>
        <v>458.61699999999996</v>
      </c>
      <c r="W18">
        <f t="shared" si="15"/>
        <v>14.80299999999994</v>
      </c>
      <c r="X18">
        <f t="shared" si="16"/>
        <v>229.30849999999998</v>
      </c>
      <c r="Y18">
        <f t="shared" si="17"/>
        <v>7.4014999999999702</v>
      </c>
    </row>
    <row r="19" spans="1:25" x14ac:dyDescent="0.3">
      <c r="A19" t="s">
        <v>42</v>
      </c>
      <c r="B19">
        <v>1480</v>
      </c>
      <c r="C19">
        <v>1480.5</v>
      </c>
      <c r="D19">
        <v>1480</v>
      </c>
      <c r="E19">
        <v>1480.1</v>
      </c>
      <c r="F19">
        <v>40718</v>
      </c>
      <c r="G19">
        <v>0</v>
      </c>
      <c r="H19">
        <f t="shared" si="0"/>
        <v>1480.3</v>
      </c>
      <c r="I19">
        <f t="shared" si="1"/>
        <v>1480.5</v>
      </c>
      <c r="J19">
        <f t="shared" si="2"/>
        <v>1480</v>
      </c>
      <c r="K19">
        <f t="shared" si="3"/>
        <v>0.5</v>
      </c>
      <c r="L19">
        <f t="shared" si="4"/>
        <v>-0.29999999999995453</v>
      </c>
      <c r="M19" t="str">
        <f t="shared" si="5"/>
        <v>DOWN</v>
      </c>
      <c r="N19">
        <f t="shared" si="6"/>
        <v>-0.20000000000004547</v>
      </c>
      <c r="O19">
        <f t="shared" si="7"/>
        <v>0</v>
      </c>
      <c r="P19">
        <f t="shared" si="8"/>
        <v>4.5</v>
      </c>
      <c r="Q19">
        <f t="shared" si="9"/>
        <v>1480.1</v>
      </c>
      <c r="R19">
        <f t="shared" si="10"/>
        <v>1480.75</v>
      </c>
      <c r="S19">
        <f t="shared" si="11"/>
        <v>0.45000000000004547</v>
      </c>
      <c r="T19">
        <f t="shared" si="12"/>
        <v>887.62800000000004</v>
      </c>
      <c r="U19">
        <f t="shared" si="13"/>
        <v>29.602000000000089</v>
      </c>
      <c r="V19">
        <f t="shared" si="14"/>
        <v>443.81400000000002</v>
      </c>
      <c r="W19">
        <f t="shared" si="15"/>
        <v>14.801000000000045</v>
      </c>
      <c r="X19">
        <f t="shared" si="16"/>
        <v>221.90700000000001</v>
      </c>
      <c r="Y19">
        <f t="shared" si="17"/>
        <v>7.4005000000000223</v>
      </c>
    </row>
    <row r="20" spans="1:25" x14ac:dyDescent="0.3">
      <c r="A20" t="s">
        <v>43</v>
      </c>
      <c r="B20">
        <v>1481</v>
      </c>
      <c r="C20">
        <v>1481.2</v>
      </c>
      <c r="D20">
        <v>1479.9</v>
      </c>
      <c r="E20">
        <v>1480.3</v>
      </c>
      <c r="F20">
        <v>52568</v>
      </c>
      <c r="G20">
        <v>0</v>
      </c>
      <c r="H20">
        <f t="shared" si="0"/>
        <v>1481.1</v>
      </c>
      <c r="I20">
        <f t="shared" si="1"/>
        <v>1481.2</v>
      </c>
      <c r="J20">
        <f t="shared" si="2"/>
        <v>1479.9</v>
      </c>
      <c r="K20">
        <f t="shared" si="3"/>
        <v>1.2999999999999545</v>
      </c>
      <c r="L20">
        <f t="shared" si="4"/>
        <v>-9.9999999999909051E-2</v>
      </c>
      <c r="M20" t="str">
        <f t="shared" si="5"/>
        <v>DOWN</v>
      </c>
      <c r="N20">
        <f t="shared" si="6"/>
        <v>-0.79999999999995453</v>
      </c>
      <c r="O20">
        <f t="shared" si="7"/>
        <v>-1.1000000000001364</v>
      </c>
      <c r="P20">
        <f t="shared" si="8"/>
        <v>3</v>
      </c>
      <c r="Q20">
        <f t="shared" si="9"/>
        <v>1480.3</v>
      </c>
      <c r="R20">
        <f t="shared" si="10"/>
        <v>1480.3</v>
      </c>
      <c r="S20">
        <f t="shared" si="11"/>
        <v>0.29999999999995453</v>
      </c>
      <c r="T20">
        <f t="shared" si="12"/>
        <v>858.02599999999995</v>
      </c>
      <c r="U20">
        <f t="shared" si="13"/>
        <v>29.606000000000108</v>
      </c>
      <c r="V20">
        <f t="shared" si="14"/>
        <v>429.01299999999998</v>
      </c>
      <c r="W20">
        <f t="shared" si="15"/>
        <v>14.803000000000054</v>
      </c>
      <c r="X20">
        <f t="shared" si="16"/>
        <v>214.50649999999999</v>
      </c>
      <c r="Y20">
        <f t="shared" si="17"/>
        <v>7.4015000000000271</v>
      </c>
    </row>
    <row r="21" spans="1:25" x14ac:dyDescent="0.3">
      <c r="A21" t="s">
        <v>44</v>
      </c>
      <c r="B21">
        <v>1480.7</v>
      </c>
      <c r="C21">
        <v>1481.1</v>
      </c>
      <c r="D21">
        <v>1480</v>
      </c>
      <c r="E21">
        <v>1481.1</v>
      </c>
      <c r="F21">
        <v>22898</v>
      </c>
      <c r="G21">
        <v>0</v>
      </c>
      <c r="H21">
        <f t="shared" si="0"/>
        <v>1480.8</v>
      </c>
      <c r="I21">
        <f t="shared" si="1"/>
        <v>1481.1</v>
      </c>
      <c r="J21">
        <f t="shared" si="2"/>
        <v>1480</v>
      </c>
      <c r="K21">
        <f t="shared" si="3"/>
        <v>1.0999999999999091</v>
      </c>
      <c r="L21">
        <f t="shared" si="4"/>
        <v>-9.9999999999909051E-2</v>
      </c>
      <c r="M21" t="str">
        <f t="shared" si="5"/>
        <v>UP</v>
      </c>
      <c r="N21">
        <f t="shared" si="6"/>
        <v>0.29999999999995453</v>
      </c>
      <c r="O21">
        <f t="shared" si="7"/>
        <v>-1.6000000000001364</v>
      </c>
      <c r="P21">
        <f t="shared" si="8"/>
        <v>4.0999999999999091</v>
      </c>
      <c r="Q21">
        <f t="shared" si="9"/>
        <v>1481.1</v>
      </c>
      <c r="R21">
        <f t="shared" si="10"/>
        <v>1480</v>
      </c>
      <c r="S21">
        <f t="shared" si="11"/>
        <v>0.41000000000030923</v>
      </c>
      <c r="T21">
        <f t="shared" si="12"/>
        <v>828.41999999999985</v>
      </c>
      <c r="U21">
        <f t="shared" si="13"/>
        <v>29.621999999999844</v>
      </c>
      <c r="V21">
        <f t="shared" si="14"/>
        <v>414.20999999999992</v>
      </c>
      <c r="W21">
        <f t="shared" si="15"/>
        <v>14.810999999999922</v>
      </c>
      <c r="X21">
        <f t="shared" si="16"/>
        <v>207.10499999999996</v>
      </c>
      <c r="Y21">
        <f t="shared" si="17"/>
        <v>7.4054999999999609</v>
      </c>
    </row>
    <row r="22" spans="1:25" x14ac:dyDescent="0.3">
      <c r="A22" t="s">
        <v>45</v>
      </c>
      <c r="B22">
        <v>1481.6</v>
      </c>
      <c r="C22">
        <v>1482.6</v>
      </c>
      <c r="D22">
        <v>1480</v>
      </c>
      <c r="E22">
        <v>1480.8</v>
      </c>
      <c r="F22">
        <v>94923</v>
      </c>
      <c r="G22">
        <v>0</v>
      </c>
      <c r="H22">
        <f t="shared" si="0"/>
        <v>1481.6</v>
      </c>
      <c r="I22">
        <f t="shared" si="1"/>
        <v>1482.6</v>
      </c>
      <c r="J22">
        <f t="shared" si="2"/>
        <v>1480</v>
      </c>
      <c r="K22">
        <f t="shared" si="3"/>
        <v>2.5999999999999091</v>
      </c>
      <c r="L22">
        <f t="shared" si="4"/>
        <v>0</v>
      </c>
      <c r="M22" t="str">
        <f t="shared" si="5"/>
        <v>DOWN</v>
      </c>
      <c r="N22">
        <f t="shared" si="6"/>
        <v>-0.79999999999995453</v>
      </c>
      <c r="O22">
        <f t="shared" si="7"/>
        <v>0.79999999999995453</v>
      </c>
      <c r="P22">
        <f t="shared" si="8"/>
        <v>5.2000000000000455</v>
      </c>
      <c r="Q22">
        <f t="shared" si="9"/>
        <v>1480.8</v>
      </c>
      <c r="R22">
        <f t="shared" si="10"/>
        <v>1479.5899999999997</v>
      </c>
      <c r="S22">
        <f t="shared" si="11"/>
        <v>0.51999999999952706</v>
      </c>
      <c r="T22">
        <f t="shared" si="12"/>
        <v>798.798</v>
      </c>
      <c r="U22">
        <f t="shared" si="13"/>
        <v>29.615999999999985</v>
      </c>
      <c r="V22">
        <f t="shared" si="14"/>
        <v>399.399</v>
      </c>
      <c r="W22">
        <f t="shared" si="15"/>
        <v>14.807999999999993</v>
      </c>
      <c r="X22">
        <f t="shared" si="16"/>
        <v>199.6995</v>
      </c>
      <c r="Y22">
        <f t="shared" si="17"/>
        <v>7.4039999999999964</v>
      </c>
    </row>
    <row r="23" spans="1:25" x14ac:dyDescent="0.3">
      <c r="A23" t="s">
        <v>46</v>
      </c>
      <c r="B23">
        <v>1480.5</v>
      </c>
      <c r="C23">
        <v>1482.7</v>
      </c>
      <c r="D23">
        <v>1480</v>
      </c>
      <c r="E23">
        <v>1481.6</v>
      </c>
      <c r="F23">
        <v>25933</v>
      </c>
      <c r="G23">
        <v>0</v>
      </c>
      <c r="H23">
        <f t="shared" si="0"/>
        <v>1480.1</v>
      </c>
      <c r="I23">
        <f t="shared" si="1"/>
        <v>1482.7</v>
      </c>
      <c r="J23">
        <f t="shared" si="2"/>
        <v>1480</v>
      </c>
      <c r="K23">
        <f t="shared" si="3"/>
        <v>2.7000000000000455</v>
      </c>
      <c r="L23">
        <f t="shared" si="4"/>
        <v>0.40000000000009095</v>
      </c>
      <c r="M23" t="str">
        <f t="shared" si="5"/>
        <v>UP</v>
      </c>
      <c r="N23">
        <f t="shared" si="6"/>
        <v>1.5</v>
      </c>
      <c r="O23">
        <f t="shared" si="7"/>
        <v>2.1999999999998181</v>
      </c>
      <c r="P23">
        <f t="shared" si="8"/>
        <v>6</v>
      </c>
      <c r="Q23">
        <f t="shared" si="9"/>
        <v>1481.6</v>
      </c>
      <c r="R23">
        <f t="shared" si="10"/>
        <v>1479.0700000000002</v>
      </c>
      <c r="S23">
        <f t="shared" si="11"/>
        <v>0.60000000000013642</v>
      </c>
      <c r="T23">
        <f t="shared" si="12"/>
        <v>769.18200000000002</v>
      </c>
      <c r="U23">
        <f t="shared" si="13"/>
        <v>29.632000000000062</v>
      </c>
      <c r="V23">
        <f t="shared" si="14"/>
        <v>384.59100000000001</v>
      </c>
      <c r="W23">
        <f t="shared" si="15"/>
        <v>14.816000000000031</v>
      </c>
      <c r="X23">
        <f t="shared" si="16"/>
        <v>192.2955</v>
      </c>
      <c r="Y23">
        <f t="shared" si="17"/>
        <v>7.4080000000000155</v>
      </c>
    </row>
    <row r="24" spans="1:25" x14ac:dyDescent="0.3">
      <c r="A24" t="s">
        <v>47</v>
      </c>
      <c r="B24">
        <v>1481.8</v>
      </c>
      <c r="C24">
        <v>1481.9</v>
      </c>
      <c r="D24">
        <v>1479.1</v>
      </c>
      <c r="E24">
        <v>1480.1</v>
      </c>
      <c r="F24">
        <v>36932</v>
      </c>
      <c r="G24">
        <v>0</v>
      </c>
      <c r="H24">
        <f t="shared" si="0"/>
        <v>1481.4</v>
      </c>
      <c r="I24">
        <f t="shared" si="1"/>
        <v>1481.9</v>
      </c>
      <c r="J24">
        <f t="shared" si="2"/>
        <v>1479.1</v>
      </c>
      <c r="K24">
        <f t="shared" si="3"/>
        <v>2.8000000000001819</v>
      </c>
      <c r="L24">
        <f t="shared" si="4"/>
        <v>0.39999999999986358</v>
      </c>
      <c r="M24" t="str">
        <f t="shared" si="5"/>
        <v>DOWN</v>
      </c>
      <c r="N24">
        <f t="shared" si="6"/>
        <v>-1.3000000000001819</v>
      </c>
      <c r="O24">
        <f t="shared" si="7"/>
        <v>4.5</v>
      </c>
      <c r="P24">
        <f t="shared" si="8"/>
        <v>5.1999999999998181</v>
      </c>
      <c r="Q24">
        <f t="shared" si="9"/>
        <v>1480.1</v>
      </c>
      <c r="R24">
        <f t="shared" si="10"/>
        <v>1478.47</v>
      </c>
      <c r="S24">
        <f t="shared" si="11"/>
        <v>0.51999999999998181</v>
      </c>
      <c r="T24">
        <f t="shared" si="12"/>
        <v>739.55</v>
      </c>
      <c r="U24">
        <f t="shared" si="13"/>
        <v>29.601999999999975</v>
      </c>
      <c r="V24">
        <f t="shared" si="14"/>
        <v>369.77499999999998</v>
      </c>
      <c r="W24">
        <f t="shared" si="15"/>
        <v>14.800999999999988</v>
      </c>
      <c r="X24">
        <f t="shared" si="16"/>
        <v>184.88749999999999</v>
      </c>
      <c r="Y24">
        <f t="shared" si="17"/>
        <v>7.4004999999999939</v>
      </c>
    </row>
    <row r="25" spans="1:25" x14ac:dyDescent="0.3">
      <c r="A25" t="s">
        <v>48</v>
      </c>
      <c r="B25">
        <v>1482.6</v>
      </c>
      <c r="C25">
        <v>1483.9</v>
      </c>
      <c r="D25">
        <v>1481.2</v>
      </c>
      <c r="E25">
        <v>1481.4</v>
      </c>
      <c r="F25">
        <v>47244</v>
      </c>
      <c r="G25">
        <v>0</v>
      </c>
      <c r="H25">
        <f t="shared" si="0"/>
        <v>1482.7</v>
      </c>
      <c r="I25">
        <f t="shared" si="1"/>
        <v>1483.9</v>
      </c>
      <c r="J25">
        <f t="shared" si="2"/>
        <v>1481.2</v>
      </c>
      <c r="K25">
        <f t="shared" si="3"/>
        <v>2.7000000000000455</v>
      </c>
      <c r="L25">
        <f t="shared" si="4"/>
        <v>-0.10000000000013642</v>
      </c>
      <c r="M25" t="str">
        <f t="shared" si="5"/>
        <v>DOWN</v>
      </c>
      <c r="N25">
        <f t="shared" si="6"/>
        <v>-1.2999999999999545</v>
      </c>
      <c r="O25">
        <f t="shared" si="7"/>
        <v>4.1000000000001364</v>
      </c>
      <c r="P25">
        <f t="shared" si="8"/>
        <v>4.8000000000001819</v>
      </c>
      <c r="Q25">
        <f t="shared" si="9"/>
        <v>1481.4</v>
      </c>
      <c r="R25">
        <f t="shared" si="10"/>
        <v>1477.95</v>
      </c>
      <c r="S25">
        <f t="shared" si="11"/>
        <v>0.48000000000001819</v>
      </c>
      <c r="T25">
        <f t="shared" si="12"/>
        <v>709.94799999999998</v>
      </c>
      <c r="U25">
        <f t="shared" si="13"/>
        <v>29.627999999999929</v>
      </c>
      <c r="V25">
        <f t="shared" si="14"/>
        <v>354.97399999999999</v>
      </c>
      <c r="W25">
        <f t="shared" si="15"/>
        <v>14.813999999999965</v>
      </c>
      <c r="X25">
        <f t="shared" si="16"/>
        <v>177.48699999999999</v>
      </c>
      <c r="Y25">
        <f t="shared" si="17"/>
        <v>7.4069999999999823</v>
      </c>
    </row>
    <row r="26" spans="1:25" x14ac:dyDescent="0.3">
      <c r="A26" t="s">
        <v>49</v>
      </c>
      <c r="B26">
        <v>1480</v>
      </c>
      <c r="C26">
        <v>1483.7</v>
      </c>
      <c r="D26">
        <v>1480</v>
      </c>
      <c r="E26">
        <v>1482.7</v>
      </c>
      <c r="F26">
        <v>57131</v>
      </c>
      <c r="G26">
        <v>0</v>
      </c>
      <c r="H26">
        <f t="shared" si="0"/>
        <v>1480</v>
      </c>
      <c r="I26">
        <f t="shared" si="1"/>
        <v>1483.7</v>
      </c>
      <c r="J26">
        <f t="shared" si="2"/>
        <v>1480</v>
      </c>
      <c r="K26">
        <f t="shared" si="3"/>
        <v>3.7000000000000455</v>
      </c>
      <c r="L26">
        <f t="shared" si="4"/>
        <v>0</v>
      </c>
      <c r="M26" t="str">
        <f t="shared" si="5"/>
        <v>UP</v>
      </c>
      <c r="N26">
        <f t="shared" si="6"/>
        <v>2.7000000000000455</v>
      </c>
      <c r="O26">
        <f t="shared" si="7"/>
        <v>5.7000000000000455</v>
      </c>
      <c r="P26">
        <f t="shared" si="8"/>
        <v>5.9000000000000909</v>
      </c>
      <c r="Q26">
        <f t="shared" si="9"/>
        <v>1482.7</v>
      </c>
      <c r="R26">
        <f t="shared" si="10"/>
        <v>1477.47</v>
      </c>
      <c r="S26">
        <f t="shared" si="11"/>
        <v>0.59000000000014552</v>
      </c>
      <c r="T26">
        <f t="shared" si="12"/>
        <v>680.32</v>
      </c>
      <c r="U26">
        <f t="shared" si="13"/>
        <v>29.65400000000011</v>
      </c>
      <c r="V26">
        <f t="shared" si="14"/>
        <v>340.16</v>
      </c>
      <c r="W26">
        <f t="shared" si="15"/>
        <v>14.827000000000055</v>
      </c>
      <c r="X26">
        <f t="shared" si="16"/>
        <v>170.08</v>
      </c>
      <c r="Y26">
        <f t="shared" si="17"/>
        <v>7.4135000000000275</v>
      </c>
    </row>
    <row r="27" spans="1:25" x14ac:dyDescent="0.3">
      <c r="A27" t="s">
        <v>50</v>
      </c>
      <c r="B27">
        <v>1479.5</v>
      </c>
      <c r="C27">
        <v>1481</v>
      </c>
      <c r="D27">
        <v>1478.9</v>
      </c>
      <c r="E27">
        <v>1480</v>
      </c>
      <c r="F27">
        <v>50572</v>
      </c>
      <c r="G27">
        <v>0</v>
      </c>
      <c r="H27">
        <f t="shared" si="0"/>
        <v>1479.4</v>
      </c>
      <c r="I27">
        <f t="shared" si="1"/>
        <v>1481</v>
      </c>
      <c r="J27">
        <f t="shared" si="2"/>
        <v>1478.9</v>
      </c>
      <c r="K27">
        <f t="shared" si="3"/>
        <v>2.0999999999999091</v>
      </c>
      <c r="L27">
        <f t="shared" si="4"/>
        <v>9.9999999999909051E-2</v>
      </c>
      <c r="M27" t="str">
        <f t="shared" si="5"/>
        <v>UP</v>
      </c>
      <c r="N27">
        <f t="shared" si="6"/>
        <v>0.59999999999990905</v>
      </c>
      <c r="O27">
        <f t="shared" si="7"/>
        <v>4.4000000000000909</v>
      </c>
      <c r="P27">
        <f t="shared" si="8"/>
        <v>9.9999999999909051E-2</v>
      </c>
      <c r="Q27">
        <f t="shared" si="9"/>
        <v>1480</v>
      </c>
      <c r="R27">
        <f t="shared" si="10"/>
        <v>1476.8799999999999</v>
      </c>
      <c r="S27">
        <f t="shared" si="11"/>
        <v>9.9999999999909051E-3</v>
      </c>
      <c r="T27">
        <f t="shared" si="12"/>
        <v>650.66599999999994</v>
      </c>
      <c r="U27">
        <f t="shared" si="13"/>
        <v>29.600000000000023</v>
      </c>
      <c r="V27">
        <f t="shared" si="14"/>
        <v>325.33299999999997</v>
      </c>
      <c r="W27">
        <f t="shared" si="15"/>
        <v>14.800000000000011</v>
      </c>
      <c r="X27">
        <f t="shared" si="16"/>
        <v>162.66649999999998</v>
      </c>
      <c r="Y27">
        <f t="shared" si="17"/>
        <v>7.4000000000000057</v>
      </c>
    </row>
    <row r="28" spans="1:25" x14ac:dyDescent="0.3">
      <c r="A28" t="s">
        <v>51</v>
      </c>
      <c r="B28">
        <v>1475.5</v>
      </c>
      <c r="C28">
        <v>1479.5</v>
      </c>
      <c r="D28">
        <v>1475.4</v>
      </c>
      <c r="E28">
        <v>1479.4</v>
      </c>
      <c r="F28">
        <v>51862</v>
      </c>
      <c r="G28">
        <v>0</v>
      </c>
      <c r="H28">
        <f t="shared" si="0"/>
        <v>1475.6</v>
      </c>
      <c r="I28">
        <f t="shared" si="1"/>
        <v>1479.5</v>
      </c>
      <c r="J28">
        <f t="shared" si="2"/>
        <v>1475.4</v>
      </c>
      <c r="K28">
        <f t="shared" si="3"/>
        <v>4.0999999999999091</v>
      </c>
      <c r="L28">
        <f t="shared" si="4"/>
        <v>-9.9999999999909051E-2</v>
      </c>
      <c r="M28" t="str">
        <f t="shared" si="5"/>
        <v>UP</v>
      </c>
      <c r="N28">
        <f t="shared" si="6"/>
        <v>3.8000000000001819</v>
      </c>
      <c r="O28">
        <f t="shared" si="7"/>
        <v>3.8000000000001819</v>
      </c>
      <c r="P28">
        <f t="shared" si="8"/>
        <v>0</v>
      </c>
      <c r="Q28">
        <f t="shared" si="9"/>
        <v>1479.4</v>
      </c>
      <c r="R28">
        <f t="shared" si="10"/>
        <v>1476.87</v>
      </c>
      <c r="S28">
        <f t="shared" si="11"/>
        <v>0</v>
      </c>
      <c r="T28">
        <f t="shared" si="12"/>
        <v>621.06599999999992</v>
      </c>
      <c r="U28">
        <f t="shared" si="13"/>
        <v>29.588000000000079</v>
      </c>
      <c r="V28">
        <f t="shared" si="14"/>
        <v>310.53299999999996</v>
      </c>
      <c r="W28">
        <f t="shared" si="15"/>
        <v>14.79400000000004</v>
      </c>
      <c r="X28">
        <f t="shared" si="16"/>
        <v>155.26649999999998</v>
      </c>
      <c r="Y28">
        <f t="shared" si="17"/>
        <v>7.3970000000000198</v>
      </c>
    </row>
    <row r="29" spans="1:25" x14ac:dyDescent="0.3">
      <c r="A29" t="s">
        <v>52</v>
      </c>
      <c r="B29">
        <v>1477.6</v>
      </c>
      <c r="C29">
        <v>1477.6</v>
      </c>
      <c r="D29">
        <v>1475</v>
      </c>
      <c r="E29">
        <v>1475.6</v>
      </c>
      <c r="F29">
        <v>32519</v>
      </c>
      <c r="G29">
        <v>0</v>
      </c>
      <c r="H29">
        <f t="shared" si="0"/>
        <v>1477.3</v>
      </c>
      <c r="I29">
        <f t="shared" si="1"/>
        <v>1477.6</v>
      </c>
      <c r="J29">
        <f t="shared" si="2"/>
        <v>1475</v>
      </c>
      <c r="K29">
        <f t="shared" si="3"/>
        <v>2.5999999999999091</v>
      </c>
      <c r="L29">
        <f t="shared" si="4"/>
        <v>0.29999999999995453</v>
      </c>
      <c r="M29" t="str">
        <f t="shared" si="5"/>
        <v>DOWN</v>
      </c>
      <c r="N29">
        <f t="shared" si="6"/>
        <v>-1.7000000000000455</v>
      </c>
      <c r="O29">
        <f t="shared" si="7"/>
        <v>0.6999999999998181</v>
      </c>
      <c r="P29">
        <f t="shared" si="8"/>
        <v>-3.8000000000001819</v>
      </c>
      <c r="Q29">
        <f t="shared" si="9"/>
        <v>1475.6</v>
      </c>
      <c r="R29">
        <f t="shared" si="10"/>
        <v>1476.87</v>
      </c>
      <c r="S29">
        <f t="shared" si="11"/>
        <v>-0.37999999999988177</v>
      </c>
      <c r="T29">
        <f t="shared" si="12"/>
        <v>591.47799999999984</v>
      </c>
      <c r="U29">
        <f t="shared" si="13"/>
        <v>29.511999999999944</v>
      </c>
      <c r="V29">
        <f t="shared" si="14"/>
        <v>295.73899999999992</v>
      </c>
      <c r="W29">
        <f t="shared" si="15"/>
        <v>14.755999999999972</v>
      </c>
      <c r="X29">
        <f t="shared" si="16"/>
        <v>147.86949999999996</v>
      </c>
      <c r="Y29">
        <f t="shared" si="17"/>
        <v>7.3779999999999859</v>
      </c>
    </row>
    <row r="30" spans="1:25" x14ac:dyDescent="0.3">
      <c r="A30" t="s">
        <v>53</v>
      </c>
      <c r="B30">
        <v>1476.7</v>
      </c>
      <c r="C30">
        <v>1478.2</v>
      </c>
      <c r="D30">
        <v>1476.4</v>
      </c>
      <c r="E30">
        <v>1477.3</v>
      </c>
      <c r="F30">
        <v>32894</v>
      </c>
      <c r="G30">
        <v>0</v>
      </c>
      <c r="H30">
        <f t="shared" si="0"/>
        <v>1477</v>
      </c>
      <c r="I30">
        <f t="shared" si="1"/>
        <v>1478.2</v>
      </c>
      <c r="J30">
        <f t="shared" si="2"/>
        <v>1476.4</v>
      </c>
      <c r="K30">
        <f t="shared" si="3"/>
        <v>1.7999999999999545</v>
      </c>
      <c r="L30">
        <f t="shared" si="4"/>
        <v>-0.29999999999995453</v>
      </c>
      <c r="M30" t="str">
        <f t="shared" si="5"/>
        <v>UP</v>
      </c>
      <c r="N30">
        <f t="shared" si="6"/>
        <v>0.29999999999995453</v>
      </c>
      <c r="O30">
        <f t="shared" si="7"/>
        <v>0.70000000000004547</v>
      </c>
      <c r="P30">
        <f t="shared" si="8"/>
        <v>-3.2999999999999545</v>
      </c>
      <c r="Q30">
        <f t="shared" si="9"/>
        <v>1477.3</v>
      </c>
      <c r="R30">
        <f t="shared" si="10"/>
        <v>1477.2499999999998</v>
      </c>
      <c r="S30">
        <f t="shared" si="11"/>
        <v>-0.33000000000015461</v>
      </c>
      <c r="T30">
        <f t="shared" si="12"/>
        <v>561.96599999999989</v>
      </c>
      <c r="U30">
        <f t="shared" si="13"/>
        <v>29.545999999999935</v>
      </c>
      <c r="V30">
        <f t="shared" si="14"/>
        <v>280.98299999999995</v>
      </c>
      <c r="W30">
        <f t="shared" si="15"/>
        <v>14.772999999999968</v>
      </c>
      <c r="X30">
        <f t="shared" si="16"/>
        <v>140.49149999999997</v>
      </c>
      <c r="Y30">
        <f t="shared" si="17"/>
        <v>7.3864999999999839</v>
      </c>
    </row>
    <row r="31" spans="1:25" x14ac:dyDescent="0.3">
      <c r="A31" t="s">
        <v>54</v>
      </c>
      <c r="B31">
        <v>1476.1</v>
      </c>
      <c r="C31">
        <v>1477</v>
      </c>
      <c r="D31">
        <v>1475</v>
      </c>
      <c r="E31">
        <v>1477</v>
      </c>
      <c r="F31">
        <v>31813</v>
      </c>
      <c r="G31">
        <v>0</v>
      </c>
      <c r="H31">
        <f t="shared" si="0"/>
        <v>1475.6</v>
      </c>
      <c r="I31">
        <f t="shared" si="1"/>
        <v>1477</v>
      </c>
      <c r="J31">
        <f t="shared" si="2"/>
        <v>1475</v>
      </c>
      <c r="K31">
        <f t="shared" si="3"/>
        <v>2</v>
      </c>
      <c r="L31">
        <f t="shared" si="4"/>
        <v>0.5</v>
      </c>
      <c r="M31" t="str">
        <f t="shared" si="5"/>
        <v>UP</v>
      </c>
      <c r="N31">
        <f t="shared" si="6"/>
        <v>1.4000000000000909</v>
      </c>
      <c r="O31">
        <f t="shared" si="7"/>
        <v>0.20000000000004547</v>
      </c>
      <c r="P31">
        <f t="shared" si="8"/>
        <v>-1.0999999999999091</v>
      </c>
      <c r="Q31">
        <f t="shared" si="9"/>
        <v>1477</v>
      </c>
      <c r="R31">
        <f t="shared" si="10"/>
        <v>1477.58</v>
      </c>
      <c r="S31">
        <f t="shared" si="11"/>
        <v>-0.11000000000012733</v>
      </c>
      <c r="T31">
        <f t="shared" si="12"/>
        <v>532.41999999999996</v>
      </c>
      <c r="U31">
        <f t="shared" si="13"/>
        <v>29.539999999999964</v>
      </c>
      <c r="V31">
        <f t="shared" si="14"/>
        <v>266.20999999999998</v>
      </c>
      <c r="W31">
        <f t="shared" si="15"/>
        <v>14.769999999999982</v>
      </c>
      <c r="X31">
        <f t="shared" si="16"/>
        <v>133.10499999999999</v>
      </c>
      <c r="Y31">
        <f t="shared" si="17"/>
        <v>7.3849999999999909</v>
      </c>
    </row>
    <row r="32" spans="1:25" x14ac:dyDescent="0.3">
      <c r="A32" t="s">
        <v>55</v>
      </c>
      <c r="B32">
        <v>1476.3</v>
      </c>
      <c r="C32">
        <v>1477</v>
      </c>
      <c r="D32">
        <v>1475.2</v>
      </c>
      <c r="E32">
        <v>1475.6</v>
      </c>
      <c r="F32">
        <v>30990</v>
      </c>
      <c r="G32">
        <v>0</v>
      </c>
      <c r="H32">
        <f t="shared" si="0"/>
        <v>1475.6</v>
      </c>
      <c r="I32">
        <f t="shared" si="1"/>
        <v>1477</v>
      </c>
      <c r="J32">
        <f t="shared" si="2"/>
        <v>1475.2</v>
      </c>
      <c r="K32">
        <f t="shared" si="3"/>
        <v>1.7999999999999545</v>
      </c>
      <c r="L32">
        <f t="shared" si="4"/>
        <v>0.70000000000004547</v>
      </c>
      <c r="M32" t="str">
        <f t="shared" si="5"/>
        <v>DOWN</v>
      </c>
      <c r="N32">
        <f t="shared" si="6"/>
        <v>0</v>
      </c>
      <c r="O32">
        <f t="shared" si="7"/>
        <v>-4.3000000000001819</v>
      </c>
      <c r="P32">
        <f t="shared" si="8"/>
        <v>-1.4000000000000909</v>
      </c>
      <c r="Q32">
        <f t="shared" si="9"/>
        <v>1475.6</v>
      </c>
      <c r="R32">
        <f t="shared" si="10"/>
        <v>1477.69</v>
      </c>
      <c r="S32">
        <f t="shared" si="11"/>
        <v>-0.14000000000010004</v>
      </c>
      <c r="T32">
        <f t="shared" si="12"/>
        <v>502.88</v>
      </c>
      <c r="U32">
        <f t="shared" si="13"/>
        <v>29.511999999999944</v>
      </c>
      <c r="V32">
        <f t="shared" si="14"/>
        <v>251.44</v>
      </c>
      <c r="W32">
        <f t="shared" si="15"/>
        <v>14.755999999999972</v>
      </c>
      <c r="X32">
        <f t="shared" si="16"/>
        <v>125.72</v>
      </c>
      <c r="Y32">
        <f t="shared" si="17"/>
        <v>7.3779999999999859</v>
      </c>
    </row>
    <row r="33" spans="1:25" x14ac:dyDescent="0.3">
      <c r="A33" t="s">
        <v>56</v>
      </c>
      <c r="B33">
        <v>1474.8</v>
      </c>
      <c r="C33">
        <v>1477</v>
      </c>
      <c r="D33">
        <v>1474.6</v>
      </c>
      <c r="E33">
        <v>1475.6</v>
      </c>
      <c r="F33">
        <v>27397</v>
      </c>
      <c r="G33">
        <v>0</v>
      </c>
      <c r="H33">
        <f t="shared" si="0"/>
        <v>1474.9</v>
      </c>
      <c r="I33">
        <f t="shared" si="1"/>
        <v>1477</v>
      </c>
      <c r="J33">
        <f t="shared" si="2"/>
        <v>1474.6</v>
      </c>
      <c r="K33">
        <f t="shared" si="3"/>
        <v>2.4000000000000909</v>
      </c>
      <c r="L33">
        <f t="shared" si="4"/>
        <v>-0.10000000000013642</v>
      </c>
      <c r="M33" t="str">
        <f t="shared" si="5"/>
        <v>UP</v>
      </c>
      <c r="N33">
        <f t="shared" si="6"/>
        <v>0.6999999999998181</v>
      </c>
      <c r="O33">
        <f t="shared" si="7"/>
        <v>-3.8000000000001819</v>
      </c>
      <c r="P33">
        <f t="shared" si="8"/>
        <v>-1.4000000000000909</v>
      </c>
      <c r="Q33">
        <f t="shared" si="9"/>
        <v>1475.6</v>
      </c>
      <c r="R33">
        <f t="shared" si="10"/>
        <v>1477.8300000000002</v>
      </c>
      <c r="S33">
        <f t="shared" si="11"/>
        <v>-0.13999999999987267</v>
      </c>
      <c r="T33">
        <f t="shared" si="12"/>
        <v>473.36800000000005</v>
      </c>
      <c r="U33">
        <f t="shared" si="13"/>
        <v>29.512000000000057</v>
      </c>
      <c r="V33">
        <f t="shared" si="14"/>
        <v>236.68400000000003</v>
      </c>
      <c r="W33">
        <f t="shared" si="15"/>
        <v>14.756000000000029</v>
      </c>
      <c r="X33">
        <f t="shared" si="16"/>
        <v>118.34200000000001</v>
      </c>
      <c r="Y33">
        <f t="shared" si="17"/>
        <v>7.3780000000000143</v>
      </c>
    </row>
    <row r="34" spans="1:25" x14ac:dyDescent="0.3">
      <c r="A34" t="s">
        <v>57</v>
      </c>
      <c r="B34">
        <v>1476.6</v>
      </c>
      <c r="C34">
        <v>1477.4</v>
      </c>
      <c r="D34">
        <v>1474.1</v>
      </c>
      <c r="E34">
        <v>1474.9</v>
      </c>
      <c r="F34">
        <v>49370</v>
      </c>
      <c r="G34">
        <v>0</v>
      </c>
      <c r="H34">
        <f t="shared" si="0"/>
        <v>1476.6</v>
      </c>
      <c r="I34">
        <f t="shared" si="1"/>
        <v>1477.4</v>
      </c>
      <c r="J34">
        <f t="shared" si="2"/>
        <v>1474.1</v>
      </c>
      <c r="K34">
        <f t="shared" si="3"/>
        <v>3.3000000000001819</v>
      </c>
      <c r="L34">
        <f t="shared" si="4"/>
        <v>0</v>
      </c>
      <c r="M34" t="str">
        <f t="shared" si="5"/>
        <v>DOWN</v>
      </c>
      <c r="N34">
        <f t="shared" si="6"/>
        <v>-1.6999999999998181</v>
      </c>
      <c r="O34">
        <f t="shared" si="7"/>
        <v>-4.5</v>
      </c>
      <c r="P34">
        <f t="shared" si="8"/>
        <v>-3.0999999999999091</v>
      </c>
      <c r="Q34">
        <f t="shared" si="9"/>
        <v>1474.9</v>
      </c>
      <c r="R34">
        <f t="shared" si="10"/>
        <v>1477.97</v>
      </c>
      <c r="S34">
        <f t="shared" si="11"/>
        <v>-0.30999999999994543</v>
      </c>
      <c r="T34">
        <f t="shared" si="12"/>
        <v>443.85599999999999</v>
      </c>
      <c r="U34">
        <f t="shared" si="13"/>
        <v>29.498000000000047</v>
      </c>
      <c r="V34">
        <f t="shared" si="14"/>
        <v>221.928</v>
      </c>
      <c r="W34">
        <f t="shared" si="15"/>
        <v>14.749000000000024</v>
      </c>
      <c r="X34">
        <f t="shared" si="16"/>
        <v>110.964</v>
      </c>
      <c r="Y34">
        <f t="shared" si="17"/>
        <v>7.3745000000000118</v>
      </c>
    </row>
    <row r="35" spans="1:25" x14ac:dyDescent="0.3">
      <c r="A35" t="s">
        <v>58</v>
      </c>
      <c r="B35">
        <v>1476.6</v>
      </c>
      <c r="C35">
        <v>1479</v>
      </c>
      <c r="D35">
        <v>1476.2</v>
      </c>
      <c r="E35">
        <v>1476.6</v>
      </c>
      <c r="F35">
        <v>28438</v>
      </c>
      <c r="G35">
        <v>0</v>
      </c>
      <c r="H35">
        <f t="shared" si="0"/>
        <v>1476.8</v>
      </c>
      <c r="I35">
        <f t="shared" si="1"/>
        <v>1479</v>
      </c>
      <c r="J35">
        <f t="shared" si="2"/>
        <v>1476.2</v>
      </c>
      <c r="K35">
        <f t="shared" si="3"/>
        <v>2.7999999999999545</v>
      </c>
      <c r="L35">
        <f t="shared" si="4"/>
        <v>-0.20000000000004547</v>
      </c>
      <c r="M35" t="str">
        <f t="shared" si="5"/>
        <v>DOWN</v>
      </c>
      <c r="N35">
        <f t="shared" si="6"/>
        <v>-0.20000000000004547</v>
      </c>
      <c r="O35">
        <f t="shared" si="7"/>
        <v>-4</v>
      </c>
      <c r="P35">
        <f t="shared" si="8"/>
        <v>-6.9000000000000909</v>
      </c>
      <c r="Q35">
        <f t="shared" si="9"/>
        <v>1476.6</v>
      </c>
      <c r="R35">
        <f t="shared" si="10"/>
        <v>1478.28</v>
      </c>
      <c r="S35">
        <f t="shared" si="11"/>
        <v>-0.69000000000005457</v>
      </c>
      <c r="T35">
        <f t="shared" si="12"/>
        <v>414.35799999999995</v>
      </c>
      <c r="U35">
        <f t="shared" si="13"/>
        <v>29.531999999999869</v>
      </c>
      <c r="V35">
        <f t="shared" si="14"/>
        <v>207.17899999999997</v>
      </c>
      <c r="W35">
        <f t="shared" si="15"/>
        <v>14.765999999999934</v>
      </c>
      <c r="X35">
        <f t="shared" si="16"/>
        <v>103.58949999999999</v>
      </c>
      <c r="Y35">
        <f t="shared" si="17"/>
        <v>7.3829999999999671</v>
      </c>
    </row>
    <row r="36" spans="1:25" x14ac:dyDescent="0.3">
      <c r="A36" t="s">
        <v>59</v>
      </c>
      <c r="B36">
        <v>1479.9</v>
      </c>
      <c r="C36">
        <v>1480.4</v>
      </c>
      <c r="D36">
        <v>1476.3</v>
      </c>
      <c r="E36">
        <v>1476.8</v>
      </c>
      <c r="F36">
        <v>30759</v>
      </c>
      <c r="G36">
        <v>0</v>
      </c>
      <c r="H36">
        <f t="shared" si="0"/>
        <v>1479.9</v>
      </c>
      <c r="I36">
        <f t="shared" si="1"/>
        <v>1480.4</v>
      </c>
      <c r="J36">
        <f t="shared" si="2"/>
        <v>1476.3</v>
      </c>
      <c r="K36">
        <f t="shared" si="3"/>
        <v>4.1000000000001364</v>
      </c>
      <c r="L36">
        <f t="shared" si="4"/>
        <v>0</v>
      </c>
      <c r="M36" t="str">
        <f t="shared" si="5"/>
        <v>DOWN</v>
      </c>
      <c r="N36">
        <f t="shared" si="6"/>
        <v>-3.1000000000001364</v>
      </c>
      <c r="O36">
        <f t="shared" si="7"/>
        <v>-1.2999999999999545</v>
      </c>
      <c r="P36">
        <f t="shared" si="8"/>
        <v>-4.7999999999999545</v>
      </c>
      <c r="Q36">
        <f t="shared" si="9"/>
        <v>1476.8</v>
      </c>
      <c r="R36">
        <f t="shared" si="10"/>
        <v>1478.97</v>
      </c>
      <c r="S36">
        <f t="shared" si="11"/>
        <v>-0.48000000000024556</v>
      </c>
      <c r="T36">
        <f t="shared" si="12"/>
        <v>384.82600000000008</v>
      </c>
      <c r="U36">
        <f t="shared" si="13"/>
        <v>29.536000000000058</v>
      </c>
      <c r="V36">
        <f t="shared" si="14"/>
        <v>192.41300000000004</v>
      </c>
      <c r="W36">
        <f t="shared" si="15"/>
        <v>14.768000000000029</v>
      </c>
      <c r="X36">
        <f t="shared" si="16"/>
        <v>96.20650000000002</v>
      </c>
      <c r="Y36">
        <f t="shared" si="17"/>
        <v>7.3840000000000146</v>
      </c>
    </row>
    <row r="37" spans="1:25" x14ac:dyDescent="0.3">
      <c r="A37" t="s">
        <v>60</v>
      </c>
      <c r="B37">
        <v>1479.4</v>
      </c>
      <c r="C37">
        <v>1480.5</v>
      </c>
      <c r="D37">
        <v>1478.7</v>
      </c>
      <c r="E37">
        <v>1479.9</v>
      </c>
      <c r="F37">
        <v>22127</v>
      </c>
      <c r="G37">
        <v>0</v>
      </c>
      <c r="H37">
        <f t="shared" si="0"/>
        <v>1479.4</v>
      </c>
      <c r="I37">
        <f t="shared" si="1"/>
        <v>1480.5</v>
      </c>
      <c r="J37">
        <f t="shared" si="2"/>
        <v>1478.7</v>
      </c>
      <c r="K37">
        <f t="shared" si="3"/>
        <v>1.7999999999999545</v>
      </c>
      <c r="L37">
        <f t="shared" si="4"/>
        <v>0</v>
      </c>
      <c r="M37" t="str">
        <f t="shared" si="5"/>
        <v>UP</v>
      </c>
      <c r="N37">
        <f t="shared" si="6"/>
        <v>0.5</v>
      </c>
      <c r="O37">
        <f t="shared" si="7"/>
        <v>2.9000000000000909</v>
      </c>
      <c r="P37">
        <f t="shared" si="8"/>
        <v>-3.3999999999998636</v>
      </c>
      <c r="Q37">
        <f t="shared" si="9"/>
        <v>1479.9</v>
      </c>
      <c r="R37">
        <f t="shared" si="10"/>
        <v>1479.4500000000003</v>
      </c>
      <c r="S37">
        <f t="shared" si="11"/>
        <v>-0.33999999999969077</v>
      </c>
      <c r="T37">
        <f t="shared" si="12"/>
        <v>355.29</v>
      </c>
      <c r="U37">
        <f t="shared" si="13"/>
        <v>29.598000000000013</v>
      </c>
      <c r="V37">
        <f t="shared" si="14"/>
        <v>177.64500000000001</v>
      </c>
      <c r="W37">
        <f t="shared" si="15"/>
        <v>14.799000000000007</v>
      </c>
      <c r="X37">
        <f t="shared" si="16"/>
        <v>88.822500000000005</v>
      </c>
      <c r="Y37">
        <f t="shared" si="17"/>
        <v>7.3995000000000033</v>
      </c>
    </row>
    <row r="38" spans="1:25" x14ac:dyDescent="0.3">
      <c r="A38" t="s">
        <v>61</v>
      </c>
      <c r="B38">
        <v>1479</v>
      </c>
      <c r="C38">
        <v>1480.5</v>
      </c>
      <c r="D38">
        <v>1477.3</v>
      </c>
      <c r="E38">
        <v>1479.4</v>
      </c>
      <c r="F38">
        <v>48197</v>
      </c>
      <c r="G38">
        <v>0</v>
      </c>
      <c r="H38">
        <f t="shared" si="0"/>
        <v>1479.4</v>
      </c>
      <c r="I38">
        <f t="shared" si="1"/>
        <v>1480.5</v>
      </c>
      <c r="J38">
        <f t="shared" si="2"/>
        <v>1477.3</v>
      </c>
      <c r="K38">
        <f t="shared" si="3"/>
        <v>3.2000000000000455</v>
      </c>
      <c r="L38">
        <f t="shared" si="4"/>
        <v>-0.40000000000009095</v>
      </c>
      <c r="M38" t="str">
        <f t="shared" si="5"/>
        <v>DOWN</v>
      </c>
      <c r="N38">
        <f t="shared" si="6"/>
        <v>0</v>
      </c>
      <c r="O38">
        <f t="shared" si="7"/>
        <v>2.4000000000000909</v>
      </c>
      <c r="P38">
        <f t="shared" si="8"/>
        <v>-7.2999999999999545</v>
      </c>
      <c r="Q38">
        <f t="shared" si="9"/>
        <v>1479.4</v>
      </c>
      <c r="R38">
        <f t="shared" si="10"/>
        <v>1479.79</v>
      </c>
      <c r="S38">
        <f t="shared" si="11"/>
        <v>-0.73000000000001819</v>
      </c>
      <c r="T38">
        <f t="shared" si="12"/>
        <v>325.69200000000001</v>
      </c>
      <c r="U38">
        <f t="shared" si="13"/>
        <v>29.587999999999965</v>
      </c>
      <c r="V38">
        <f t="shared" si="14"/>
        <v>162.846</v>
      </c>
      <c r="W38">
        <f t="shared" si="15"/>
        <v>14.793999999999983</v>
      </c>
      <c r="X38">
        <f t="shared" si="16"/>
        <v>81.423000000000002</v>
      </c>
      <c r="Y38">
        <f t="shared" si="17"/>
        <v>7.3969999999999914</v>
      </c>
    </row>
    <row r="39" spans="1:25" x14ac:dyDescent="0.3">
      <c r="A39" t="s">
        <v>62</v>
      </c>
      <c r="B39">
        <v>1480</v>
      </c>
      <c r="C39">
        <v>1481.4</v>
      </c>
      <c r="D39">
        <v>1479</v>
      </c>
      <c r="E39">
        <v>1479.4</v>
      </c>
      <c r="F39">
        <v>25478</v>
      </c>
      <c r="G39">
        <v>0</v>
      </c>
      <c r="H39">
        <f t="shared" si="0"/>
        <v>1480.6</v>
      </c>
      <c r="I39">
        <f t="shared" si="1"/>
        <v>1481.4</v>
      </c>
      <c r="J39">
        <f t="shared" si="2"/>
        <v>1479</v>
      </c>
      <c r="K39">
        <f t="shared" si="3"/>
        <v>2.4000000000000909</v>
      </c>
      <c r="L39">
        <f t="shared" si="4"/>
        <v>-0.59999999999990905</v>
      </c>
      <c r="M39" t="str">
        <f t="shared" si="5"/>
        <v>DOWN</v>
      </c>
      <c r="N39">
        <f t="shared" si="6"/>
        <v>-1.1999999999998181</v>
      </c>
      <c r="O39">
        <f t="shared" si="7"/>
        <v>1.4000000000000909</v>
      </c>
      <c r="P39">
        <f t="shared" si="8"/>
        <v>1479.4</v>
      </c>
      <c r="Q39">
        <f t="shared" si="9"/>
        <v>1479.4</v>
      </c>
      <c r="R39">
        <f t="shared" si="10"/>
        <v>1480.52</v>
      </c>
      <c r="S39">
        <f t="shared" si="11"/>
        <v>147.93999999999983</v>
      </c>
      <c r="T39">
        <f t="shared" si="12"/>
        <v>296.10400000000004</v>
      </c>
      <c r="U39">
        <f t="shared" si="13"/>
        <v>29.588000000000022</v>
      </c>
      <c r="V39">
        <f t="shared" si="14"/>
        <v>148.05200000000002</v>
      </c>
      <c r="W39">
        <f t="shared" si="15"/>
        <v>14.794000000000011</v>
      </c>
      <c r="X39">
        <f t="shared" si="16"/>
        <v>74.02600000000001</v>
      </c>
      <c r="Y39">
        <f t="shared" si="17"/>
        <v>7.3970000000000056</v>
      </c>
    </row>
    <row r="40" spans="1:25" x14ac:dyDescent="0.3">
      <c r="A40" t="s">
        <v>63</v>
      </c>
      <c r="B40">
        <v>1478.1</v>
      </c>
      <c r="C40">
        <v>1480.6</v>
      </c>
      <c r="D40">
        <v>1477.7</v>
      </c>
      <c r="E40">
        <v>1480.6</v>
      </c>
      <c r="F40">
        <v>29472</v>
      </c>
      <c r="G40">
        <v>0</v>
      </c>
      <c r="H40">
        <f t="shared" si="0"/>
        <v>1478.1</v>
      </c>
      <c r="I40">
        <f t="shared" si="1"/>
        <v>1480.6</v>
      </c>
      <c r="J40">
        <f t="shared" si="2"/>
        <v>1477.7</v>
      </c>
      <c r="K40">
        <f t="shared" si="3"/>
        <v>2.8999999999998636</v>
      </c>
      <c r="L40">
        <f t="shared" si="4"/>
        <v>0</v>
      </c>
      <c r="M40" t="str">
        <f t="shared" si="5"/>
        <v>UP</v>
      </c>
      <c r="N40">
        <f t="shared" si="6"/>
        <v>2.5</v>
      </c>
      <c r="O40">
        <f t="shared" si="7"/>
        <v>-2.9000000000000909</v>
      </c>
      <c r="P40">
        <f t="shared" si="8"/>
        <v>1480.6</v>
      </c>
      <c r="Q40">
        <f t="shared" si="9"/>
        <v>1480.6</v>
      </c>
      <c r="R40">
        <f t="shared" si="10"/>
        <v>1332.5800000000002</v>
      </c>
      <c r="S40">
        <f t="shared" si="11"/>
        <v>148.06000000000017</v>
      </c>
      <c r="T40">
        <f t="shared" si="12"/>
        <v>266.51600000000002</v>
      </c>
      <c r="U40">
        <f t="shared" si="13"/>
        <v>29.611999999999995</v>
      </c>
      <c r="V40">
        <f t="shared" si="14"/>
        <v>133.25800000000001</v>
      </c>
      <c r="W40">
        <f t="shared" si="15"/>
        <v>14.805999999999997</v>
      </c>
      <c r="X40">
        <f t="shared" si="16"/>
        <v>66.629000000000005</v>
      </c>
    </row>
    <row r="41" spans="1:25" x14ac:dyDescent="0.3">
      <c r="A41" t="s">
        <v>64</v>
      </c>
      <c r="B41">
        <v>1477.1</v>
      </c>
      <c r="C41">
        <v>1479</v>
      </c>
      <c r="D41">
        <v>1475.5</v>
      </c>
      <c r="E41">
        <v>1478.1</v>
      </c>
      <c r="F41">
        <v>39560</v>
      </c>
      <c r="G41">
        <v>0</v>
      </c>
      <c r="H41">
        <f t="shared" si="0"/>
        <v>1477</v>
      </c>
      <c r="I41">
        <f t="shared" si="1"/>
        <v>1479</v>
      </c>
      <c r="J41">
        <f t="shared" si="2"/>
        <v>1475.5</v>
      </c>
      <c r="K41">
        <f t="shared" si="3"/>
        <v>3.5</v>
      </c>
      <c r="L41">
        <f t="shared" si="4"/>
        <v>9.9999999999909051E-2</v>
      </c>
      <c r="M41" t="str">
        <f t="shared" si="5"/>
        <v>UP</v>
      </c>
      <c r="N41">
        <f t="shared" si="6"/>
        <v>1.0999999999999091</v>
      </c>
      <c r="O41">
        <f t="shared" si="7"/>
        <v>-3.5</v>
      </c>
      <c r="P41">
        <f t="shared" si="8"/>
        <v>1478.1</v>
      </c>
      <c r="Q41">
        <f t="shared" si="9"/>
        <v>1478.1</v>
      </c>
      <c r="R41">
        <f t="shared" si="10"/>
        <v>1184.52</v>
      </c>
      <c r="S41">
        <f t="shared" si="11"/>
        <v>147.80999999999995</v>
      </c>
      <c r="T41">
        <f t="shared" si="12"/>
        <v>236.90400000000002</v>
      </c>
      <c r="U41">
        <f t="shared" si="13"/>
        <v>29.562000000000012</v>
      </c>
      <c r="V41">
        <f t="shared" si="14"/>
        <v>118.45200000000001</v>
      </c>
      <c r="W41">
        <f t="shared" si="15"/>
        <v>14.781000000000006</v>
      </c>
      <c r="X41">
        <f t="shared" si="16"/>
        <v>59.226000000000006</v>
      </c>
    </row>
    <row r="42" spans="1:25" x14ac:dyDescent="0.3">
      <c r="A42" t="s">
        <v>65</v>
      </c>
      <c r="B42">
        <v>1477</v>
      </c>
      <c r="C42">
        <v>1480</v>
      </c>
      <c r="D42">
        <v>1477</v>
      </c>
      <c r="E42">
        <v>1477</v>
      </c>
      <c r="F42">
        <v>43283</v>
      </c>
      <c r="G42">
        <v>0</v>
      </c>
      <c r="H42">
        <f t="shared" si="0"/>
        <v>1477</v>
      </c>
      <c r="I42">
        <f t="shared" si="1"/>
        <v>1480</v>
      </c>
      <c r="J42">
        <f t="shared" si="2"/>
        <v>1477</v>
      </c>
      <c r="K42">
        <f t="shared" si="3"/>
        <v>3</v>
      </c>
      <c r="L42">
        <f t="shared" si="4"/>
        <v>0</v>
      </c>
      <c r="M42" t="str">
        <f t="shared" si="5"/>
        <v>DOWN</v>
      </c>
      <c r="N42">
        <f t="shared" si="6"/>
        <v>0</v>
      </c>
      <c r="O42">
        <f t="shared" si="7"/>
        <v>-6.2999999999999545</v>
      </c>
      <c r="P42">
        <f t="shared" si="8"/>
        <v>1477</v>
      </c>
      <c r="Q42">
        <f t="shared" si="9"/>
        <v>1477</v>
      </c>
      <c r="R42">
        <f t="shared" si="10"/>
        <v>1036.71</v>
      </c>
      <c r="S42">
        <f t="shared" si="11"/>
        <v>147.70000000000005</v>
      </c>
      <c r="T42">
        <f t="shared" si="12"/>
        <v>207.34200000000001</v>
      </c>
      <c r="U42">
        <f t="shared" si="13"/>
        <v>29.539999999999992</v>
      </c>
      <c r="V42">
        <f t="shared" si="14"/>
        <v>103.67100000000001</v>
      </c>
      <c r="W42">
        <f t="shared" si="15"/>
        <v>14.769999999999996</v>
      </c>
      <c r="X42">
        <f t="shared" si="16"/>
        <v>51.835500000000003</v>
      </c>
    </row>
    <row r="43" spans="1:25" x14ac:dyDescent="0.3">
      <c r="A43" t="s">
        <v>66</v>
      </c>
      <c r="B43">
        <v>1478.1</v>
      </c>
      <c r="C43">
        <v>1479.5</v>
      </c>
      <c r="D43">
        <v>1475.1</v>
      </c>
      <c r="E43">
        <v>1477</v>
      </c>
      <c r="F43">
        <v>86867</v>
      </c>
      <c r="G43">
        <v>0</v>
      </c>
      <c r="H43">
        <f t="shared" si="0"/>
        <v>1478</v>
      </c>
      <c r="I43">
        <f t="shared" si="1"/>
        <v>1479.5</v>
      </c>
      <c r="J43">
        <f t="shared" si="2"/>
        <v>1475.1</v>
      </c>
      <c r="K43">
        <f t="shared" si="3"/>
        <v>4.4000000000000909</v>
      </c>
      <c r="L43">
        <f t="shared" si="4"/>
        <v>9.9999999999909051E-2</v>
      </c>
      <c r="M43" t="str">
        <f t="shared" si="5"/>
        <v>DOWN</v>
      </c>
      <c r="N43">
        <f t="shared" si="6"/>
        <v>-1</v>
      </c>
      <c r="O43">
        <f t="shared" si="7"/>
        <v>-9.7000000000000455</v>
      </c>
      <c r="P43">
        <f t="shared" si="8"/>
        <v>1477</v>
      </c>
      <c r="Q43">
        <f t="shared" si="9"/>
        <v>1477</v>
      </c>
      <c r="R43">
        <f t="shared" si="10"/>
        <v>889.01</v>
      </c>
      <c r="S43">
        <f t="shared" si="11"/>
        <v>147.69999999999993</v>
      </c>
      <c r="T43">
        <f t="shared" si="12"/>
        <v>177.80200000000002</v>
      </c>
      <c r="U43">
        <f t="shared" si="13"/>
        <v>29.54000000000002</v>
      </c>
      <c r="V43">
        <f t="shared" si="14"/>
        <v>88.90100000000001</v>
      </c>
      <c r="W43">
        <f t="shared" si="15"/>
        <v>14.77000000000001</v>
      </c>
      <c r="X43">
        <f t="shared" si="16"/>
        <v>44.450500000000005</v>
      </c>
    </row>
    <row r="44" spans="1:25" x14ac:dyDescent="0.3">
      <c r="A44" t="s">
        <v>67</v>
      </c>
      <c r="B44">
        <v>1483.5</v>
      </c>
      <c r="C44">
        <v>1484</v>
      </c>
      <c r="D44">
        <v>1478</v>
      </c>
      <c r="E44">
        <v>1478</v>
      </c>
      <c r="F44">
        <v>90822</v>
      </c>
      <c r="G44">
        <v>0</v>
      </c>
      <c r="H44">
        <f t="shared" si="0"/>
        <v>1483.5</v>
      </c>
      <c r="I44">
        <f t="shared" si="1"/>
        <v>1484</v>
      </c>
      <c r="J44">
        <f t="shared" si="2"/>
        <v>1478</v>
      </c>
      <c r="K44">
        <f t="shared" si="3"/>
        <v>6</v>
      </c>
      <c r="L44">
        <f t="shared" si="4"/>
        <v>0</v>
      </c>
      <c r="M44" t="str">
        <f t="shared" si="5"/>
        <v>DOWN</v>
      </c>
      <c r="N44">
        <f t="shared" si="6"/>
        <v>-5.5</v>
      </c>
      <c r="O44">
        <f t="shared" si="7"/>
        <v>1478</v>
      </c>
      <c r="P44">
        <f t="shared" si="8"/>
        <v>1478</v>
      </c>
      <c r="Q44">
        <f t="shared" si="9"/>
        <v>1478</v>
      </c>
      <c r="R44">
        <f t="shared" si="10"/>
        <v>741.31000000000006</v>
      </c>
      <c r="S44">
        <f t="shared" si="11"/>
        <v>147.80000000000007</v>
      </c>
      <c r="T44">
        <f t="shared" si="12"/>
        <v>148.262</v>
      </c>
      <c r="U44">
        <f t="shared" si="13"/>
        <v>29.560000000000016</v>
      </c>
      <c r="V44">
        <f t="shared" si="14"/>
        <v>74.131</v>
      </c>
      <c r="W44">
        <f t="shared" si="15"/>
        <v>14.780000000000008</v>
      </c>
      <c r="X44">
        <f t="shared" si="16"/>
        <v>37.0655</v>
      </c>
    </row>
    <row r="45" spans="1:25" x14ac:dyDescent="0.3">
      <c r="A45" t="s">
        <v>68</v>
      </c>
      <c r="B45">
        <v>1481.3</v>
      </c>
      <c r="C45">
        <v>1485</v>
      </c>
      <c r="D45">
        <v>1481.3</v>
      </c>
      <c r="E45">
        <v>1483.5</v>
      </c>
      <c r="F45">
        <v>34667</v>
      </c>
      <c r="G45">
        <v>0</v>
      </c>
      <c r="H45">
        <f t="shared" si="0"/>
        <v>1481.6</v>
      </c>
      <c r="I45">
        <f t="shared" si="1"/>
        <v>1485</v>
      </c>
      <c r="J45">
        <f t="shared" si="2"/>
        <v>1481.3</v>
      </c>
      <c r="K45">
        <f t="shared" si="3"/>
        <v>3.7000000000000455</v>
      </c>
      <c r="L45">
        <f t="shared" si="4"/>
        <v>-0.29999999999995453</v>
      </c>
      <c r="M45" t="str">
        <f t="shared" si="5"/>
        <v>UP</v>
      </c>
      <c r="N45">
        <f t="shared" si="6"/>
        <v>1.9000000000000909</v>
      </c>
      <c r="O45">
        <f t="shared" si="7"/>
        <v>1483.5</v>
      </c>
      <c r="P45">
        <f t="shared" si="8"/>
        <v>1483.5</v>
      </c>
      <c r="Q45">
        <f t="shared" si="9"/>
        <v>1483.5</v>
      </c>
      <c r="R45">
        <f t="shared" si="10"/>
        <v>593.51</v>
      </c>
      <c r="S45">
        <f t="shared" si="11"/>
        <v>148.35000000000002</v>
      </c>
      <c r="T45">
        <f t="shared" si="12"/>
        <v>118.70199999999998</v>
      </c>
      <c r="U45">
        <f t="shared" si="13"/>
        <v>29.67</v>
      </c>
      <c r="V45">
        <f t="shared" si="14"/>
        <v>59.350999999999992</v>
      </c>
      <c r="W45">
        <f t="shared" si="15"/>
        <v>14.835000000000001</v>
      </c>
      <c r="X45">
        <f t="shared" si="16"/>
        <v>29.675499999999996</v>
      </c>
    </row>
    <row r="46" spans="1:25" x14ac:dyDescent="0.3">
      <c r="A46" t="s">
        <v>69</v>
      </c>
      <c r="B46">
        <v>1483.7</v>
      </c>
      <c r="C46">
        <v>1484.5</v>
      </c>
      <c r="D46">
        <v>1480</v>
      </c>
      <c r="E46">
        <v>1481.6</v>
      </c>
      <c r="F46">
        <v>65813</v>
      </c>
      <c r="G46">
        <v>0</v>
      </c>
      <c r="H46">
        <f t="shared" si="0"/>
        <v>1483.3</v>
      </c>
      <c r="I46">
        <f t="shared" si="1"/>
        <v>1484.5</v>
      </c>
      <c r="J46">
        <f t="shared" si="2"/>
        <v>1480</v>
      </c>
      <c r="K46">
        <f t="shared" si="3"/>
        <v>4.5</v>
      </c>
      <c r="L46">
        <f t="shared" si="4"/>
        <v>0.40000000000009095</v>
      </c>
      <c r="M46" t="str">
        <f t="shared" si="5"/>
        <v>DOWN</v>
      </c>
      <c r="N46">
        <f t="shared" si="6"/>
        <v>-1.7000000000000455</v>
      </c>
      <c r="O46">
        <f t="shared" si="7"/>
        <v>1481.6</v>
      </c>
      <c r="P46">
        <f t="shared" si="8"/>
        <v>1481.6</v>
      </c>
      <c r="Q46">
        <f t="shared" si="9"/>
        <v>1481.6</v>
      </c>
      <c r="R46">
        <f t="shared" si="10"/>
        <v>445.15999999999997</v>
      </c>
      <c r="S46">
        <f t="shared" si="11"/>
        <v>148.15999999999997</v>
      </c>
      <c r="T46">
        <f t="shared" si="12"/>
        <v>89.031999999999982</v>
      </c>
      <c r="U46">
        <f t="shared" si="13"/>
        <v>29.631999999999984</v>
      </c>
      <c r="V46">
        <f t="shared" si="14"/>
        <v>44.515999999999991</v>
      </c>
      <c r="W46">
        <f t="shared" si="15"/>
        <v>14.815999999999992</v>
      </c>
      <c r="X46">
        <f t="shared" si="16"/>
        <v>22.257999999999996</v>
      </c>
    </row>
    <row r="47" spans="1:25" x14ac:dyDescent="0.3">
      <c r="A47" t="s">
        <v>70</v>
      </c>
      <c r="B47">
        <v>1486.6</v>
      </c>
      <c r="C47">
        <v>1487</v>
      </c>
      <c r="D47">
        <v>1483.2</v>
      </c>
      <c r="E47">
        <v>1483.3</v>
      </c>
      <c r="F47">
        <v>71798</v>
      </c>
      <c r="G47">
        <v>0</v>
      </c>
      <c r="H47">
        <f t="shared" si="0"/>
        <v>1486.7</v>
      </c>
      <c r="I47">
        <f t="shared" si="1"/>
        <v>1487</v>
      </c>
      <c r="J47">
        <f t="shared" si="2"/>
        <v>1483.2</v>
      </c>
      <c r="K47">
        <f t="shared" si="3"/>
        <v>3.7999999999999545</v>
      </c>
      <c r="L47">
        <f t="shared" si="4"/>
        <v>-0.10000000000013642</v>
      </c>
      <c r="M47" t="str">
        <f t="shared" si="5"/>
        <v>DOWN</v>
      </c>
      <c r="N47">
        <f t="shared" si="6"/>
        <v>-3.4000000000000909</v>
      </c>
      <c r="O47">
        <f t="shared" si="7"/>
        <v>1483.3</v>
      </c>
      <c r="P47">
        <f t="shared" si="8"/>
        <v>1483.3</v>
      </c>
      <c r="Q47">
        <f t="shared" si="9"/>
        <v>1483.3</v>
      </c>
      <c r="R47">
        <f t="shared" si="10"/>
        <v>297</v>
      </c>
      <c r="S47">
        <f t="shared" si="11"/>
        <v>148.32999999999998</v>
      </c>
      <c r="T47">
        <f t="shared" si="12"/>
        <v>59.4</v>
      </c>
      <c r="U47">
        <f t="shared" si="13"/>
        <v>29.665999999999997</v>
      </c>
      <c r="V47">
        <f t="shared" si="14"/>
        <v>29.7</v>
      </c>
      <c r="W47">
        <f t="shared" si="15"/>
        <v>14.832999999999998</v>
      </c>
      <c r="X47">
        <f t="shared" si="16"/>
        <v>14.85</v>
      </c>
    </row>
    <row r="48" spans="1:25" x14ac:dyDescent="0.3">
      <c r="A48" t="s">
        <v>71</v>
      </c>
      <c r="B48">
        <v>1482</v>
      </c>
      <c r="C48">
        <v>1487.6</v>
      </c>
      <c r="D48">
        <v>1476.1</v>
      </c>
      <c r="E48">
        <v>1486.7</v>
      </c>
      <c r="F48">
        <v>151587</v>
      </c>
      <c r="G48">
        <v>0</v>
      </c>
      <c r="H48">
        <f t="shared" si="0"/>
        <v>0</v>
      </c>
      <c r="I48">
        <f t="shared" si="1"/>
        <v>1487.6</v>
      </c>
      <c r="J48">
        <f t="shared" si="2"/>
        <v>0</v>
      </c>
      <c r="K48">
        <f t="shared" si="3"/>
        <v>1487.6</v>
      </c>
      <c r="L48">
        <f t="shared" si="4"/>
        <v>1482</v>
      </c>
      <c r="M48" t="str">
        <f t="shared" si="5"/>
        <v>UP</v>
      </c>
      <c r="N48">
        <f t="shared" si="6"/>
        <v>1486.7</v>
      </c>
      <c r="O48">
        <f t="shared" si="7"/>
        <v>1486.7</v>
      </c>
      <c r="P48">
        <f t="shared" si="8"/>
        <v>1486.7</v>
      </c>
      <c r="Q48">
        <f t="shared" si="9"/>
        <v>1486.7</v>
      </c>
      <c r="R48">
        <f t="shared" si="10"/>
        <v>148.67000000000002</v>
      </c>
      <c r="S48">
        <f t="shared" si="11"/>
        <v>148.67000000000002</v>
      </c>
      <c r="T48">
        <f t="shared" si="12"/>
        <v>29.734000000000002</v>
      </c>
      <c r="U48">
        <f t="shared" si="13"/>
        <v>29.734000000000002</v>
      </c>
      <c r="V48">
        <f t="shared" si="14"/>
        <v>14.867000000000001</v>
      </c>
      <c r="W48">
        <f t="shared" si="15"/>
        <v>14.867000000000001</v>
      </c>
      <c r="X48">
        <f t="shared" si="16"/>
        <v>7.4335000000000004</v>
      </c>
    </row>
    <row r="49" spans="8:24" x14ac:dyDescent="0.3">
      <c r="H49">
        <f t="shared" si="0"/>
        <v>0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4"/>
        <v>0</v>
      </c>
      <c r="M49" t="str">
        <f t="shared" si="5"/>
        <v>DOWN</v>
      </c>
      <c r="N49">
        <f t="shared" si="6"/>
        <v>0</v>
      </c>
      <c r="O49">
        <f t="shared" si="7"/>
        <v>0</v>
      </c>
      <c r="P49">
        <f t="shared" si="8"/>
        <v>0</v>
      </c>
      <c r="Q49">
        <f t="shared" si="9"/>
        <v>0</v>
      </c>
      <c r="R49">
        <f t="shared" si="10"/>
        <v>0</v>
      </c>
      <c r="S49">
        <f t="shared" si="11"/>
        <v>0</v>
      </c>
      <c r="T49">
        <f t="shared" si="12"/>
        <v>0</v>
      </c>
      <c r="U49">
        <f t="shared" si="13"/>
        <v>0</v>
      </c>
      <c r="V49">
        <f t="shared" si="14"/>
        <v>0</v>
      </c>
      <c r="W49">
        <f t="shared" si="15"/>
        <v>0</v>
      </c>
      <c r="X49">
        <f t="shared" si="16"/>
        <v>0</v>
      </c>
    </row>
    <row r="50" spans="8:24" x14ac:dyDescent="0.3">
      <c r="H50">
        <f t="shared" si="0"/>
        <v>0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4"/>
        <v>0</v>
      </c>
      <c r="M50" t="str">
        <f t="shared" si="5"/>
        <v>DOWN</v>
      </c>
      <c r="N50">
        <f t="shared" si="6"/>
        <v>0</v>
      </c>
      <c r="O50">
        <f t="shared" si="7"/>
        <v>0</v>
      </c>
      <c r="P50">
        <f t="shared" si="8"/>
        <v>0</v>
      </c>
      <c r="Q50">
        <f t="shared" si="9"/>
        <v>0</v>
      </c>
      <c r="R50">
        <f t="shared" si="10"/>
        <v>0</v>
      </c>
      <c r="S50">
        <f t="shared" si="11"/>
        <v>0</v>
      </c>
      <c r="T50">
        <f t="shared" si="12"/>
        <v>0</v>
      </c>
      <c r="U50">
        <f t="shared" si="13"/>
        <v>0</v>
      </c>
      <c r="V50">
        <f t="shared" si="14"/>
        <v>0</v>
      </c>
      <c r="W50">
        <f t="shared" si="15"/>
        <v>0</v>
      </c>
      <c r="X50">
        <f t="shared" si="16"/>
        <v>0</v>
      </c>
    </row>
    <row r="51" spans="8:24" x14ac:dyDescent="0.3">
      <c r="H51">
        <f t="shared" si="0"/>
        <v>0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4"/>
        <v>0</v>
      </c>
      <c r="M51" t="str">
        <f t="shared" si="5"/>
        <v>DOWN</v>
      </c>
      <c r="N51">
        <f t="shared" si="6"/>
        <v>0</v>
      </c>
      <c r="O51">
        <f t="shared" si="7"/>
        <v>0</v>
      </c>
      <c r="P51">
        <f t="shared" si="8"/>
        <v>0</v>
      </c>
      <c r="Q51">
        <f t="shared" si="9"/>
        <v>0</v>
      </c>
      <c r="R51">
        <f t="shared" si="10"/>
        <v>0</v>
      </c>
      <c r="S51">
        <f t="shared" si="11"/>
        <v>0</v>
      </c>
      <c r="T51">
        <f t="shared" si="12"/>
        <v>0</v>
      </c>
      <c r="U51">
        <f t="shared" si="13"/>
        <v>0</v>
      </c>
      <c r="V51">
        <f t="shared" si="14"/>
        <v>0</v>
      </c>
      <c r="W51">
        <f t="shared" si="15"/>
        <v>0</v>
      </c>
      <c r="X51">
        <f t="shared" si="16"/>
        <v>0</v>
      </c>
    </row>
    <row r="52" spans="8:24" x14ac:dyDescent="0.3">
      <c r="H52">
        <f t="shared" si="0"/>
        <v>0</v>
      </c>
      <c r="I52">
        <f t="shared" si="1"/>
        <v>0</v>
      </c>
      <c r="J52">
        <f t="shared" si="2"/>
        <v>0</v>
      </c>
      <c r="K52">
        <f t="shared" si="3"/>
        <v>0</v>
      </c>
      <c r="L52">
        <f t="shared" si="4"/>
        <v>0</v>
      </c>
      <c r="M52" t="str">
        <f t="shared" si="5"/>
        <v>DOWN</v>
      </c>
      <c r="N52">
        <f t="shared" si="6"/>
        <v>0</v>
      </c>
      <c r="O52">
        <f t="shared" si="7"/>
        <v>0</v>
      </c>
      <c r="P52">
        <f t="shared" si="8"/>
        <v>0</v>
      </c>
      <c r="Q52">
        <f t="shared" si="9"/>
        <v>0</v>
      </c>
      <c r="R52">
        <f t="shared" si="10"/>
        <v>0</v>
      </c>
      <c r="S52">
        <f t="shared" si="11"/>
        <v>0</v>
      </c>
      <c r="T52">
        <f t="shared" si="12"/>
        <v>0</v>
      </c>
      <c r="U52">
        <f t="shared" si="13"/>
        <v>0</v>
      </c>
      <c r="V52">
        <f t="shared" si="14"/>
        <v>0</v>
      </c>
      <c r="W52">
        <f t="shared" si="15"/>
        <v>0</v>
      </c>
      <c r="X52">
        <f t="shared" si="16"/>
        <v>0</v>
      </c>
    </row>
    <row r="53" spans="8:24" x14ac:dyDescent="0.3"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0</v>
      </c>
      <c r="L53">
        <f t="shared" si="4"/>
        <v>0</v>
      </c>
      <c r="M53" t="str">
        <f t="shared" si="5"/>
        <v>DOWN</v>
      </c>
      <c r="N53">
        <f t="shared" si="6"/>
        <v>0</v>
      </c>
      <c r="O53">
        <f t="shared" si="7"/>
        <v>0</v>
      </c>
      <c r="P53">
        <f t="shared" si="8"/>
        <v>0</v>
      </c>
      <c r="Q53">
        <f t="shared" si="9"/>
        <v>0</v>
      </c>
      <c r="R53">
        <f t="shared" si="10"/>
        <v>0</v>
      </c>
      <c r="S53">
        <f t="shared" si="11"/>
        <v>0</v>
      </c>
      <c r="T53">
        <f t="shared" si="12"/>
        <v>0</v>
      </c>
      <c r="U53">
        <f t="shared" si="13"/>
        <v>0</v>
      </c>
      <c r="V53">
        <f t="shared" si="14"/>
        <v>0</v>
      </c>
      <c r="W53">
        <f t="shared" si="15"/>
        <v>0</v>
      </c>
      <c r="X53">
        <f t="shared" si="16"/>
        <v>0</v>
      </c>
    </row>
    <row r="54" spans="8:24" x14ac:dyDescent="0.3"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0</v>
      </c>
      <c r="L54">
        <f t="shared" si="4"/>
        <v>0</v>
      </c>
      <c r="M54" t="str">
        <f t="shared" si="5"/>
        <v>DOWN</v>
      </c>
      <c r="N54">
        <f t="shared" si="6"/>
        <v>0</v>
      </c>
      <c r="O54">
        <f t="shared" si="7"/>
        <v>0</v>
      </c>
      <c r="P54">
        <f t="shared" si="8"/>
        <v>0</v>
      </c>
      <c r="Q54">
        <f t="shared" si="9"/>
        <v>0</v>
      </c>
      <c r="R54">
        <f t="shared" si="10"/>
        <v>0</v>
      </c>
      <c r="S54">
        <f t="shared" si="11"/>
        <v>0</v>
      </c>
      <c r="T54">
        <f t="shared" si="12"/>
        <v>0</v>
      </c>
      <c r="U54">
        <f t="shared" si="13"/>
        <v>0</v>
      </c>
      <c r="V54">
        <f t="shared" si="14"/>
        <v>0</v>
      </c>
      <c r="W54">
        <f t="shared" si="15"/>
        <v>0</v>
      </c>
      <c r="X54">
        <f t="shared" si="16"/>
        <v>0</v>
      </c>
    </row>
    <row r="55" spans="8:24" x14ac:dyDescent="0.3"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0</v>
      </c>
      <c r="L55">
        <f t="shared" si="4"/>
        <v>0</v>
      </c>
      <c r="M55" t="str">
        <f t="shared" si="5"/>
        <v>DOWN</v>
      </c>
      <c r="N55">
        <f t="shared" si="6"/>
        <v>0</v>
      </c>
      <c r="O55">
        <f t="shared" si="7"/>
        <v>0</v>
      </c>
      <c r="P55">
        <f t="shared" si="8"/>
        <v>0</v>
      </c>
      <c r="Q55">
        <f t="shared" si="9"/>
        <v>0</v>
      </c>
      <c r="R55">
        <f t="shared" si="10"/>
        <v>0</v>
      </c>
      <c r="S55">
        <f t="shared" si="11"/>
        <v>0</v>
      </c>
      <c r="T55">
        <f t="shared" si="12"/>
        <v>0</v>
      </c>
      <c r="U55">
        <f t="shared" si="13"/>
        <v>0</v>
      </c>
      <c r="V55">
        <f t="shared" si="14"/>
        <v>0</v>
      </c>
      <c r="W55">
        <f t="shared" si="15"/>
        <v>0</v>
      </c>
      <c r="X55">
        <f t="shared" si="16"/>
        <v>0</v>
      </c>
    </row>
    <row r="56" spans="8:24" x14ac:dyDescent="0.3"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0</v>
      </c>
      <c r="L56">
        <f t="shared" si="4"/>
        <v>0</v>
      </c>
      <c r="M56" t="str">
        <f t="shared" si="5"/>
        <v>DOWN</v>
      </c>
      <c r="N56">
        <f t="shared" si="6"/>
        <v>0</v>
      </c>
      <c r="O56">
        <f t="shared" si="7"/>
        <v>0</v>
      </c>
      <c r="P56">
        <f t="shared" si="8"/>
        <v>0</v>
      </c>
      <c r="Q56">
        <f t="shared" si="9"/>
        <v>0</v>
      </c>
      <c r="R56">
        <f t="shared" si="10"/>
        <v>0</v>
      </c>
      <c r="S56">
        <f t="shared" si="11"/>
        <v>0</v>
      </c>
      <c r="T56">
        <f t="shared" si="12"/>
        <v>0</v>
      </c>
      <c r="U56">
        <f t="shared" si="13"/>
        <v>0</v>
      </c>
      <c r="V56">
        <f t="shared" si="14"/>
        <v>0</v>
      </c>
      <c r="W56">
        <f t="shared" si="15"/>
        <v>0</v>
      </c>
      <c r="X56">
        <f t="shared" si="16"/>
        <v>0</v>
      </c>
    </row>
    <row r="57" spans="8:24" x14ac:dyDescent="0.3"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0</v>
      </c>
      <c r="L57">
        <f t="shared" si="4"/>
        <v>0</v>
      </c>
      <c r="M57" t="str">
        <f t="shared" si="5"/>
        <v>DOWN</v>
      </c>
      <c r="N57">
        <f t="shared" si="6"/>
        <v>0</v>
      </c>
      <c r="O57">
        <f t="shared" si="7"/>
        <v>0</v>
      </c>
      <c r="P57">
        <f t="shared" si="8"/>
        <v>0</v>
      </c>
      <c r="Q57">
        <f t="shared" si="9"/>
        <v>0</v>
      </c>
      <c r="R57">
        <f t="shared" si="10"/>
        <v>0</v>
      </c>
      <c r="S57">
        <f t="shared" si="11"/>
        <v>0</v>
      </c>
      <c r="T57">
        <f t="shared" si="12"/>
        <v>0</v>
      </c>
      <c r="U57">
        <f t="shared" si="13"/>
        <v>0</v>
      </c>
      <c r="V57">
        <f t="shared" si="14"/>
        <v>0</v>
      </c>
      <c r="W57">
        <f t="shared" si="15"/>
        <v>0</v>
      </c>
      <c r="X57">
        <f t="shared" si="16"/>
        <v>0</v>
      </c>
    </row>
    <row r="58" spans="8:24" x14ac:dyDescent="0.3"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0</v>
      </c>
      <c r="L58">
        <f t="shared" si="4"/>
        <v>0</v>
      </c>
      <c r="M58" t="str">
        <f t="shared" si="5"/>
        <v>DOWN</v>
      </c>
      <c r="N58">
        <f t="shared" si="6"/>
        <v>0</v>
      </c>
      <c r="O58">
        <f t="shared" si="7"/>
        <v>0</v>
      </c>
      <c r="P58">
        <f t="shared" si="8"/>
        <v>0</v>
      </c>
      <c r="Q58">
        <f t="shared" si="9"/>
        <v>0</v>
      </c>
      <c r="R58">
        <f t="shared" si="10"/>
        <v>0</v>
      </c>
      <c r="S58">
        <f t="shared" si="11"/>
        <v>0</v>
      </c>
      <c r="T58">
        <f t="shared" si="12"/>
        <v>0</v>
      </c>
      <c r="U58">
        <f t="shared" si="13"/>
        <v>0</v>
      </c>
      <c r="V58">
        <f t="shared" si="14"/>
        <v>0</v>
      </c>
      <c r="W58">
        <f t="shared" si="15"/>
        <v>0</v>
      </c>
      <c r="X58">
        <f t="shared" si="16"/>
        <v>0</v>
      </c>
    </row>
    <row r="59" spans="8:24" x14ac:dyDescent="0.3"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0</v>
      </c>
      <c r="L59">
        <f t="shared" si="4"/>
        <v>0</v>
      </c>
      <c r="M59" t="str">
        <f t="shared" si="5"/>
        <v>DOWN</v>
      </c>
      <c r="N59">
        <f t="shared" si="6"/>
        <v>0</v>
      </c>
      <c r="O59">
        <f t="shared" si="7"/>
        <v>0</v>
      </c>
      <c r="P59">
        <f t="shared" si="8"/>
        <v>0</v>
      </c>
      <c r="Q59">
        <f t="shared" si="9"/>
        <v>0</v>
      </c>
      <c r="R59">
        <f t="shared" si="10"/>
        <v>0</v>
      </c>
      <c r="S59">
        <f t="shared" si="11"/>
        <v>0</v>
      </c>
      <c r="T59">
        <f t="shared" si="12"/>
        <v>0</v>
      </c>
      <c r="U59">
        <f t="shared" si="13"/>
        <v>0</v>
      </c>
      <c r="V59">
        <f t="shared" si="14"/>
        <v>0</v>
      </c>
      <c r="W59">
        <f t="shared" si="15"/>
        <v>0</v>
      </c>
      <c r="X59">
        <f t="shared" si="16"/>
        <v>0</v>
      </c>
    </row>
    <row r="60" spans="8:24" x14ac:dyDescent="0.3"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0</v>
      </c>
      <c r="L60">
        <f t="shared" si="4"/>
        <v>0</v>
      </c>
      <c r="M60" t="str">
        <f t="shared" si="5"/>
        <v>DOWN</v>
      </c>
      <c r="N60">
        <f t="shared" si="6"/>
        <v>0</v>
      </c>
      <c r="O60">
        <f t="shared" si="7"/>
        <v>0</v>
      </c>
      <c r="P60">
        <f t="shared" si="8"/>
        <v>0</v>
      </c>
      <c r="Q60">
        <f t="shared" si="9"/>
        <v>0</v>
      </c>
      <c r="R60">
        <f t="shared" si="10"/>
        <v>0</v>
      </c>
      <c r="S60">
        <f t="shared" si="11"/>
        <v>0</v>
      </c>
      <c r="T60">
        <f t="shared" si="12"/>
        <v>0</v>
      </c>
      <c r="U60">
        <f t="shared" si="13"/>
        <v>0</v>
      </c>
      <c r="V60">
        <f t="shared" si="14"/>
        <v>0</v>
      </c>
      <c r="W60">
        <f t="shared" si="15"/>
        <v>0</v>
      </c>
      <c r="X60">
        <f t="shared" si="16"/>
        <v>0</v>
      </c>
    </row>
    <row r="61" spans="8:24" x14ac:dyDescent="0.3"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0</v>
      </c>
      <c r="L61">
        <f t="shared" si="4"/>
        <v>0</v>
      </c>
      <c r="M61" t="str">
        <f t="shared" si="5"/>
        <v>DOWN</v>
      </c>
      <c r="N61">
        <f t="shared" si="6"/>
        <v>0</v>
      </c>
      <c r="O61">
        <f t="shared" si="7"/>
        <v>0</v>
      </c>
      <c r="P61">
        <f t="shared" si="8"/>
        <v>0</v>
      </c>
      <c r="Q61">
        <f t="shared" si="9"/>
        <v>0</v>
      </c>
      <c r="R61">
        <f t="shared" si="10"/>
        <v>0</v>
      </c>
      <c r="S61">
        <f t="shared" si="11"/>
        <v>0</v>
      </c>
      <c r="T61">
        <f t="shared" si="12"/>
        <v>0</v>
      </c>
      <c r="U61">
        <f t="shared" si="13"/>
        <v>0</v>
      </c>
      <c r="V61">
        <f t="shared" si="14"/>
        <v>0</v>
      </c>
      <c r="W61">
        <f t="shared" si="15"/>
        <v>0</v>
      </c>
      <c r="X61">
        <f t="shared" si="16"/>
        <v>0</v>
      </c>
    </row>
    <row r="62" spans="8:24" x14ac:dyDescent="0.3"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0</v>
      </c>
      <c r="L62">
        <f t="shared" si="4"/>
        <v>0</v>
      </c>
      <c r="M62" t="str">
        <f t="shared" si="5"/>
        <v>DOWN</v>
      </c>
      <c r="N62">
        <f t="shared" si="6"/>
        <v>0</v>
      </c>
      <c r="O62">
        <f t="shared" si="7"/>
        <v>0</v>
      </c>
      <c r="P62">
        <f t="shared" si="8"/>
        <v>0</v>
      </c>
      <c r="Q62">
        <f t="shared" si="9"/>
        <v>0</v>
      </c>
      <c r="R62">
        <f t="shared" si="10"/>
        <v>0</v>
      </c>
      <c r="S62">
        <f t="shared" si="11"/>
        <v>0</v>
      </c>
      <c r="T62">
        <f t="shared" si="12"/>
        <v>0</v>
      </c>
      <c r="U62">
        <f t="shared" si="13"/>
        <v>0</v>
      </c>
      <c r="V62">
        <f t="shared" si="14"/>
        <v>0</v>
      </c>
      <c r="W62">
        <f t="shared" si="15"/>
        <v>0</v>
      </c>
      <c r="X62">
        <f t="shared" si="16"/>
        <v>0</v>
      </c>
    </row>
    <row r="63" spans="8:24" x14ac:dyDescent="0.3">
      <c r="H63">
        <f t="shared" si="0"/>
        <v>0</v>
      </c>
      <c r="I63">
        <f t="shared" si="1"/>
        <v>0</v>
      </c>
      <c r="J63">
        <f t="shared" si="2"/>
        <v>0</v>
      </c>
      <c r="K63">
        <f t="shared" si="3"/>
        <v>0</v>
      </c>
      <c r="L63">
        <f t="shared" si="4"/>
        <v>0</v>
      </c>
      <c r="M63" t="str">
        <f t="shared" si="5"/>
        <v>DOWN</v>
      </c>
      <c r="N63">
        <f t="shared" si="6"/>
        <v>0</v>
      </c>
      <c r="O63">
        <f t="shared" si="7"/>
        <v>0</v>
      </c>
      <c r="P63">
        <f t="shared" si="8"/>
        <v>0</v>
      </c>
      <c r="Q63">
        <f t="shared" si="9"/>
        <v>0</v>
      </c>
      <c r="R63">
        <f t="shared" si="10"/>
        <v>0</v>
      </c>
      <c r="S63">
        <f t="shared" si="11"/>
        <v>0</v>
      </c>
      <c r="T63">
        <f t="shared" si="12"/>
        <v>0</v>
      </c>
      <c r="U63">
        <f t="shared" si="13"/>
        <v>0</v>
      </c>
      <c r="V63">
        <f t="shared" si="14"/>
        <v>0</v>
      </c>
      <c r="W63">
        <f t="shared" si="15"/>
        <v>0</v>
      </c>
      <c r="X63">
        <f t="shared" si="16"/>
        <v>0</v>
      </c>
    </row>
    <row r="64" spans="8:24" x14ac:dyDescent="0.3">
      <c r="H64">
        <f t="shared" si="0"/>
        <v>0</v>
      </c>
      <c r="I64">
        <f t="shared" si="1"/>
        <v>0</v>
      </c>
      <c r="J64">
        <f t="shared" si="2"/>
        <v>0</v>
      </c>
      <c r="K64">
        <f t="shared" si="3"/>
        <v>0</v>
      </c>
      <c r="L64">
        <f t="shared" si="4"/>
        <v>0</v>
      </c>
      <c r="M64" t="str">
        <f t="shared" si="5"/>
        <v>DOWN</v>
      </c>
      <c r="N64">
        <f t="shared" si="6"/>
        <v>0</v>
      </c>
      <c r="O64">
        <f t="shared" si="7"/>
        <v>0</v>
      </c>
      <c r="P64">
        <f t="shared" si="8"/>
        <v>0</v>
      </c>
      <c r="Q64">
        <f t="shared" si="9"/>
        <v>0</v>
      </c>
      <c r="R64">
        <f t="shared" si="10"/>
        <v>0</v>
      </c>
      <c r="S64">
        <f t="shared" si="11"/>
        <v>0</v>
      </c>
      <c r="T64">
        <f t="shared" si="12"/>
        <v>0</v>
      </c>
      <c r="U64">
        <f t="shared" si="13"/>
        <v>0</v>
      </c>
      <c r="V64">
        <f t="shared" si="14"/>
        <v>0</v>
      </c>
      <c r="W64">
        <f t="shared" si="15"/>
        <v>0</v>
      </c>
      <c r="X64">
        <f t="shared" si="16"/>
        <v>0</v>
      </c>
    </row>
    <row r="65" spans="8:24" x14ac:dyDescent="0.3">
      <c r="H65">
        <f t="shared" si="0"/>
        <v>0</v>
      </c>
      <c r="I65">
        <f t="shared" si="1"/>
        <v>0</v>
      </c>
      <c r="J65">
        <f t="shared" si="2"/>
        <v>0</v>
      </c>
      <c r="K65">
        <f t="shared" si="3"/>
        <v>0</v>
      </c>
      <c r="L65">
        <f t="shared" si="4"/>
        <v>0</v>
      </c>
      <c r="M65" t="str">
        <f t="shared" si="5"/>
        <v>DOWN</v>
      </c>
      <c r="N65">
        <f t="shared" si="6"/>
        <v>0</v>
      </c>
      <c r="O65">
        <f t="shared" si="7"/>
        <v>0</v>
      </c>
      <c r="P65">
        <f t="shared" si="8"/>
        <v>0</v>
      </c>
      <c r="Q65">
        <f t="shared" si="9"/>
        <v>0</v>
      </c>
      <c r="R65">
        <f t="shared" si="10"/>
        <v>0</v>
      </c>
      <c r="S65">
        <f t="shared" si="11"/>
        <v>0</v>
      </c>
      <c r="T65">
        <f t="shared" si="12"/>
        <v>0</v>
      </c>
      <c r="U65">
        <f t="shared" si="13"/>
        <v>0</v>
      </c>
      <c r="V65">
        <f t="shared" si="14"/>
        <v>0</v>
      </c>
      <c r="W65">
        <f t="shared" si="15"/>
        <v>0</v>
      </c>
      <c r="X65">
        <f t="shared" si="16"/>
        <v>0</v>
      </c>
    </row>
    <row r="66" spans="8:24" x14ac:dyDescent="0.3">
      <c r="H66">
        <f t="shared" ref="H66:H129" si="18">E67</f>
        <v>0</v>
      </c>
      <c r="I66">
        <f t="shared" ref="I66:I129" si="19">MAX(C66,H66)</f>
        <v>0</v>
      </c>
      <c r="J66">
        <f t="shared" ref="J66:J129" si="20">MIN(D66,H66)</f>
        <v>0</v>
      </c>
      <c r="K66">
        <f t="shared" ref="K66:K129" si="21">I66-J66</f>
        <v>0</v>
      </c>
      <c r="L66">
        <f t="shared" ref="L66:L129" si="22">B66-E67</f>
        <v>0</v>
      </c>
      <c r="M66" t="str">
        <f t="shared" ref="M66:M129" si="23">IF(E66&gt;E67,"UP","DOWN")</f>
        <v>DOWN</v>
      </c>
      <c r="N66">
        <f t="shared" ref="N66:N129" si="24">E66-E67</f>
        <v>0</v>
      </c>
      <c r="O66">
        <f t="shared" ref="O66:O129" si="25">SUM(N66:N70)</f>
        <v>0</v>
      </c>
      <c r="P66">
        <f t="shared" ref="P66:P129" si="26">SUM(N66:N75)</f>
        <v>0</v>
      </c>
      <c r="Q66">
        <f t="shared" ref="Q66:Q129" si="27">SUM(N66:N115)</f>
        <v>0</v>
      </c>
      <c r="R66">
        <f t="shared" ref="R66:R129" si="28">SUM(E66:E75)/10</f>
        <v>0</v>
      </c>
      <c r="S66">
        <f t="shared" ref="S66:S129" si="29">R66-R67</f>
        <v>0</v>
      </c>
      <c r="T66">
        <f t="shared" ref="T66:T129" si="30">SUM(E66:E115)/50</f>
        <v>0</v>
      </c>
      <c r="U66">
        <f t="shared" ref="U66:U129" si="31">T66-T67</f>
        <v>0</v>
      </c>
      <c r="V66">
        <f t="shared" ref="V66:V129" si="32">SUM(E66:E165)/100</f>
        <v>0</v>
      </c>
      <c r="W66">
        <f t="shared" ref="W66:W129" si="33">V66-V67</f>
        <v>0</v>
      </c>
      <c r="X66">
        <f t="shared" ref="X66:X129" si="34">SUM(E66:E265)/200</f>
        <v>0</v>
      </c>
    </row>
    <row r="67" spans="8:24" x14ac:dyDescent="0.3">
      <c r="H67">
        <f t="shared" si="18"/>
        <v>0</v>
      </c>
      <c r="I67">
        <f t="shared" si="19"/>
        <v>0</v>
      </c>
      <c r="J67">
        <f t="shared" si="20"/>
        <v>0</v>
      </c>
      <c r="K67">
        <f t="shared" si="21"/>
        <v>0</v>
      </c>
      <c r="L67">
        <f t="shared" si="22"/>
        <v>0</v>
      </c>
      <c r="M67" t="str">
        <f t="shared" si="23"/>
        <v>DOWN</v>
      </c>
      <c r="N67">
        <f t="shared" si="24"/>
        <v>0</v>
      </c>
      <c r="O67">
        <f t="shared" si="25"/>
        <v>0</v>
      </c>
      <c r="P67">
        <f t="shared" si="26"/>
        <v>0</v>
      </c>
      <c r="Q67">
        <f t="shared" si="27"/>
        <v>0</v>
      </c>
      <c r="R67">
        <f t="shared" si="28"/>
        <v>0</v>
      </c>
      <c r="S67">
        <f t="shared" si="29"/>
        <v>0</v>
      </c>
      <c r="T67">
        <f t="shared" si="30"/>
        <v>0</v>
      </c>
      <c r="U67">
        <f t="shared" si="31"/>
        <v>0</v>
      </c>
      <c r="V67">
        <f t="shared" si="32"/>
        <v>0</v>
      </c>
      <c r="W67">
        <f t="shared" si="33"/>
        <v>0</v>
      </c>
      <c r="X67">
        <f t="shared" si="34"/>
        <v>0</v>
      </c>
    </row>
    <row r="68" spans="8:24" x14ac:dyDescent="0.3">
      <c r="H68">
        <f t="shared" si="18"/>
        <v>0</v>
      </c>
      <c r="I68">
        <f t="shared" si="19"/>
        <v>0</v>
      </c>
      <c r="J68">
        <f t="shared" si="20"/>
        <v>0</v>
      </c>
      <c r="K68">
        <f t="shared" si="21"/>
        <v>0</v>
      </c>
      <c r="L68">
        <f t="shared" si="22"/>
        <v>0</v>
      </c>
      <c r="M68" t="str">
        <f t="shared" si="23"/>
        <v>DOWN</v>
      </c>
      <c r="N68">
        <f t="shared" si="24"/>
        <v>0</v>
      </c>
      <c r="O68">
        <f t="shared" si="25"/>
        <v>0</v>
      </c>
      <c r="P68">
        <f t="shared" si="26"/>
        <v>0</v>
      </c>
      <c r="Q68">
        <f t="shared" si="27"/>
        <v>0</v>
      </c>
      <c r="R68">
        <f t="shared" si="28"/>
        <v>0</v>
      </c>
      <c r="S68">
        <f t="shared" si="29"/>
        <v>0</v>
      </c>
      <c r="T68">
        <f t="shared" si="30"/>
        <v>0</v>
      </c>
      <c r="U68">
        <f t="shared" si="31"/>
        <v>0</v>
      </c>
      <c r="V68">
        <f t="shared" si="32"/>
        <v>0</v>
      </c>
      <c r="W68">
        <f t="shared" si="33"/>
        <v>0</v>
      </c>
      <c r="X68">
        <f t="shared" si="34"/>
        <v>0</v>
      </c>
    </row>
    <row r="69" spans="8:24" x14ac:dyDescent="0.3">
      <c r="H69">
        <f t="shared" si="18"/>
        <v>0</v>
      </c>
      <c r="I69">
        <f t="shared" si="19"/>
        <v>0</v>
      </c>
      <c r="J69">
        <f t="shared" si="20"/>
        <v>0</v>
      </c>
      <c r="K69">
        <f t="shared" si="21"/>
        <v>0</v>
      </c>
      <c r="L69">
        <f t="shared" si="22"/>
        <v>0</v>
      </c>
      <c r="M69" t="str">
        <f t="shared" si="23"/>
        <v>DOWN</v>
      </c>
      <c r="N69">
        <f t="shared" si="24"/>
        <v>0</v>
      </c>
      <c r="O69">
        <f t="shared" si="25"/>
        <v>0</v>
      </c>
      <c r="P69">
        <f t="shared" si="26"/>
        <v>0</v>
      </c>
      <c r="Q69">
        <f t="shared" si="27"/>
        <v>0</v>
      </c>
      <c r="R69">
        <f t="shared" si="28"/>
        <v>0</v>
      </c>
      <c r="S69">
        <f t="shared" si="29"/>
        <v>0</v>
      </c>
      <c r="T69">
        <f t="shared" si="30"/>
        <v>0</v>
      </c>
      <c r="U69">
        <f t="shared" si="31"/>
        <v>0</v>
      </c>
      <c r="V69">
        <f t="shared" si="32"/>
        <v>0</v>
      </c>
      <c r="W69">
        <f t="shared" si="33"/>
        <v>0</v>
      </c>
      <c r="X69">
        <f t="shared" si="34"/>
        <v>0</v>
      </c>
    </row>
    <row r="70" spans="8:24" x14ac:dyDescent="0.3">
      <c r="H70">
        <f t="shared" si="18"/>
        <v>0</v>
      </c>
      <c r="I70">
        <f t="shared" si="19"/>
        <v>0</v>
      </c>
      <c r="J70">
        <f t="shared" si="20"/>
        <v>0</v>
      </c>
      <c r="K70">
        <f t="shared" si="21"/>
        <v>0</v>
      </c>
      <c r="L70">
        <f t="shared" si="22"/>
        <v>0</v>
      </c>
      <c r="M70" t="str">
        <f t="shared" si="23"/>
        <v>DOWN</v>
      </c>
      <c r="N70">
        <f t="shared" si="24"/>
        <v>0</v>
      </c>
      <c r="O70">
        <f t="shared" si="25"/>
        <v>0</v>
      </c>
      <c r="P70">
        <f t="shared" si="26"/>
        <v>0</v>
      </c>
      <c r="Q70">
        <f t="shared" si="27"/>
        <v>0</v>
      </c>
      <c r="R70">
        <f t="shared" si="28"/>
        <v>0</v>
      </c>
      <c r="S70">
        <f t="shared" si="29"/>
        <v>0</v>
      </c>
      <c r="T70">
        <f t="shared" si="30"/>
        <v>0</v>
      </c>
      <c r="U70">
        <f t="shared" si="31"/>
        <v>0</v>
      </c>
      <c r="V70">
        <f t="shared" si="32"/>
        <v>0</v>
      </c>
      <c r="W70">
        <f t="shared" si="33"/>
        <v>0</v>
      </c>
      <c r="X70">
        <f t="shared" si="34"/>
        <v>0</v>
      </c>
    </row>
    <row r="71" spans="8:24" x14ac:dyDescent="0.3">
      <c r="H71">
        <f t="shared" si="18"/>
        <v>0</v>
      </c>
      <c r="I71">
        <f t="shared" si="19"/>
        <v>0</v>
      </c>
      <c r="J71">
        <f t="shared" si="20"/>
        <v>0</v>
      </c>
      <c r="K71">
        <f t="shared" si="21"/>
        <v>0</v>
      </c>
      <c r="L71">
        <f t="shared" si="22"/>
        <v>0</v>
      </c>
      <c r="M71" t="str">
        <f t="shared" si="23"/>
        <v>DOWN</v>
      </c>
      <c r="N71">
        <f t="shared" si="24"/>
        <v>0</v>
      </c>
      <c r="O71">
        <f t="shared" si="25"/>
        <v>0</v>
      </c>
      <c r="P71">
        <f t="shared" si="26"/>
        <v>0</v>
      </c>
      <c r="Q71">
        <f t="shared" si="27"/>
        <v>0</v>
      </c>
      <c r="R71">
        <f t="shared" si="28"/>
        <v>0</v>
      </c>
      <c r="S71">
        <f t="shared" si="29"/>
        <v>0</v>
      </c>
      <c r="T71">
        <f t="shared" si="30"/>
        <v>0</v>
      </c>
      <c r="U71">
        <f t="shared" si="31"/>
        <v>0</v>
      </c>
      <c r="V71">
        <f t="shared" si="32"/>
        <v>0</v>
      </c>
      <c r="W71">
        <f t="shared" si="33"/>
        <v>0</v>
      </c>
      <c r="X71">
        <f t="shared" si="34"/>
        <v>0</v>
      </c>
    </row>
    <row r="72" spans="8:24" x14ac:dyDescent="0.3">
      <c r="H72">
        <f t="shared" si="18"/>
        <v>0</v>
      </c>
      <c r="I72">
        <f t="shared" si="19"/>
        <v>0</v>
      </c>
      <c r="J72">
        <f t="shared" si="20"/>
        <v>0</v>
      </c>
      <c r="K72">
        <f t="shared" si="21"/>
        <v>0</v>
      </c>
      <c r="L72">
        <f t="shared" si="22"/>
        <v>0</v>
      </c>
      <c r="M72" t="str">
        <f t="shared" si="23"/>
        <v>DOWN</v>
      </c>
      <c r="N72">
        <f t="shared" si="24"/>
        <v>0</v>
      </c>
      <c r="O72">
        <f t="shared" si="25"/>
        <v>0</v>
      </c>
      <c r="P72">
        <f t="shared" si="26"/>
        <v>0</v>
      </c>
      <c r="Q72">
        <f t="shared" si="27"/>
        <v>0</v>
      </c>
      <c r="R72">
        <f t="shared" si="28"/>
        <v>0</v>
      </c>
      <c r="S72">
        <f t="shared" si="29"/>
        <v>0</v>
      </c>
      <c r="T72">
        <f t="shared" si="30"/>
        <v>0</v>
      </c>
      <c r="U72">
        <f t="shared" si="31"/>
        <v>0</v>
      </c>
      <c r="V72">
        <f t="shared" si="32"/>
        <v>0</v>
      </c>
      <c r="W72">
        <f t="shared" si="33"/>
        <v>0</v>
      </c>
      <c r="X72">
        <f t="shared" si="34"/>
        <v>0</v>
      </c>
    </row>
    <row r="73" spans="8:24" x14ac:dyDescent="0.3">
      <c r="H73">
        <f t="shared" si="18"/>
        <v>0</v>
      </c>
      <c r="I73">
        <f t="shared" si="19"/>
        <v>0</v>
      </c>
      <c r="J73">
        <f t="shared" si="20"/>
        <v>0</v>
      </c>
      <c r="K73">
        <f t="shared" si="21"/>
        <v>0</v>
      </c>
      <c r="L73">
        <f t="shared" si="22"/>
        <v>0</v>
      </c>
      <c r="M73" t="str">
        <f t="shared" si="23"/>
        <v>DOWN</v>
      </c>
      <c r="N73">
        <f t="shared" si="24"/>
        <v>0</v>
      </c>
      <c r="O73">
        <f t="shared" si="25"/>
        <v>0</v>
      </c>
      <c r="P73">
        <f t="shared" si="26"/>
        <v>0</v>
      </c>
      <c r="Q73">
        <f t="shared" si="27"/>
        <v>0</v>
      </c>
      <c r="R73">
        <f t="shared" si="28"/>
        <v>0</v>
      </c>
      <c r="S73">
        <f t="shared" si="29"/>
        <v>0</v>
      </c>
      <c r="T73">
        <f t="shared" si="30"/>
        <v>0</v>
      </c>
      <c r="U73">
        <f t="shared" si="31"/>
        <v>0</v>
      </c>
      <c r="V73">
        <f t="shared" si="32"/>
        <v>0</v>
      </c>
      <c r="W73">
        <f t="shared" si="33"/>
        <v>0</v>
      </c>
      <c r="X73">
        <f t="shared" si="34"/>
        <v>0</v>
      </c>
    </row>
    <row r="74" spans="8:24" x14ac:dyDescent="0.3">
      <c r="H74">
        <f t="shared" si="18"/>
        <v>0</v>
      </c>
      <c r="I74">
        <f t="shared" si="19"/>
        <v>0</v>
      </c>
      <c r="J74">
        <f t="shared" si="20"/>
        <v>0</v>
      </c>
      <c r="K74">
        <f t="shared" si="21"/>
        <v>0</v>
      </c>
      <c r="L74">
        <f t="shared" si="22"/>
        <v>0</v>
      </c>
      <c r="M74" t="str">
        <f t="shared" si="23"/>
        <v>DOWN</v>
      </c>
      <c r="N74">
        <f t="shared" si="24"/>
        <v>0</v>
      </c>
      <c r="O74">
        <f t="shared" si="25"/>
        <v>0</v>
      </c>
      <c r="P74">
        <f t="shared" si="26"/>
        <v>0</v>
      </c>
      <c r="Q74">
        <f t="shared" si="27"/>
        <v>0</v>
      </c>
      <c r="R74">
        <f t="shared" si="28"/>
        <v>0</v>
      </c>
      <c r="S74">
        <f t="shared" si="29"/>
        <v>0</v>
      </c>
      <c r="T74">
        <f t="shared" si="30"/>
        <v>0</v>
      </c>
      <c r="U74">
        <f t="shared" si="31"/>
        <v>0</v>
      </c>
      <c r="V74">
        <f t="shared" si="32"/>
        <v>0</v>
      </c>
      <c r="W74">
        <f t="shared" si="33"/>
        <v>0</v>
      </c>
      <c r="X74">
        <f t="shared" si="34"/>
        <v>0</v>
      </c>
    </row>
    <row r="75" spans="8:24" x14ac:dyDescent="0.3">
      <c r="H75">
        <f t="shared" si="18"/>
        <v>0</v>
      </c>
      <c r="I75">
        <f t="shared" si="19"/>
        <v>0</v>
      </c>
      <c r="J75">
        <f t="shared" si="20"/>
        <v>0</v>
      </c>
      <c r="K75">
        <f t="shared" si="21"/>
        <v>0</v>
      </c>
      <c r="L75">
        <f t="shared" si="22"/>
        <v>0</v>
      </c>
      <c r="M75" t="str">
        <f t="shared" si="23"/>
        <v>DOWN</v>
      </c>
      <c r="N75">
        <f t="shared" si="24"/>
        <v>0</v>
      </c>
      <c r="O75">
        <f t="shared" si="25"/>
        <v>0</v>
      </c>
      <c r="P75">
        <f t="shared" si="26"/>
        <v>0</v>
      </c>
      <c r="Q75">
        <f t="shared" si="27"/>
        <v>0</v>
      </c>
      <c r="R75">
        <f t="shared" si="28"/>
        <v>0</v>
      </c>
      <c r="S75">
        <f t="shared" si="29"/>
        <v>0</v>
      </c>
      <c r="T75">
        <f t="shared" si="30"/>
        <v>0</v>
      </c>
      <c r="U75">
        <f t="shared" si="31"/>
        <v>0</v>
      </c>
      <c r="V75">
        <f t="shared" si="32"/>
        <v>0</v>
      </c>
      <c r="W75">
        <f t="shared" si="33"/>
        <v>0</v>
      </c>
      <c r="X75">
        <f t="shared" si="34"/>
        <v>0</v>
      </c>
    </row>
    <row r="76" spans="8:24" x14ac:dyDescent="0.3">
      <c r="H76">
        <f t="shared" si="18"/>
        <v>0</v>
      </c>
      <c r="I76">
        <f t="shared" si="19"/>
        <v>0</v>
      </c>
      <c r="J76">
        <f t="shared" si="20"/>
        <v>0</v>
      </c>
      <c r="K76">
        <f t="shared" si="21"/>
        <v>0</v>
      </c>
      <c r="L76">
        <f t="shared" si="22"/>
        <v>0</v>
      </c>
      <c r="M76" t="str">
        <f t="shared" si="23"/>
        <v>DOWN</v>
      </c>
      <c r="N76">
        <f t="shared" si="24"/>
        <v>0</v>
      </c>
      <c r="O76">
        <f t="shared" si="25"/>
        <v>0</v>
      </c>
      <c r="P76">
        <f t="shared" si="26"/>
        <v>0</v>
      </c>
      <c r="Q76">
        <f t="shared" si="27"/>
        <v>0</v>
      </c>
      <c r="R76">
        <f t="shared" si="28"/>
        <v>0</v>
      </c>
      <c r="S76">
        <f t="shared" si="29"/>
        <v>0</v>
      </c>
      <c r="T76">
        <f t="shared" si="30"/>
        <v>0</v>
      </c>
      <c r="U76">
        <f t="shared" si="31"/>
        <v>0</v>
      </c>
      <c r="V76">
        <f t="shared" si="32"/>
        <v>0</v>
      </c>
      <c r="W76">
        <f t="shared" si="33"/>
        <v>0</v>
      </c>
      <c r="X76">
        <f t="shared" si="34"/>
        <v>0</v>
      </c>
    </row>
    <row r="77" spans="8:24" x14ac:dyDescent="0.3">
      <c r="H77">
        <f t="shared" si="18"/>
        <v>0</v>
      </c>
      <c r="I77">
        <f t="shared" si="19"/>
        <v>0</v>
      </c>
      <c r="J77">
        <f t="shared" si="20"/>
        <v>0</v>
      </c>
      <c r="K77">
        <f t="shared" si="21"/>
        <v>0</v>
      </c>
      <c r="L77">
        <f t="shared" si="22"/>
        <v>0</v>
      </c>
      <c r="M77" t="str">
        <f t="shared" si="23"/>
        <v>DOWN</v>
      </c>
      <c r="N77">
        <f t="shared" si="24"/>
        <v>0</v>
      </c>
      <c r="O77">
        <f t="shared" si="25"/>
        <v>0</v>
      </c>
      <c r="P77">
        <f t="shared" si="26"/>
        <v>0</v>
      </c>
      <c r="Q77">
        <f t="shared" si="27"/>
        <v>0</v>
      </c>
      <c r="R77">
        <f t="shared" si="28"/>
        <v>0</v>
      </c>
      <c r="S77">
        <f t="shared" si="29"/>
        <v>0</v>
      </c>
      <c r="T77">
        <f t="shared" si="30"/>
        <v>0</v>
      </c>
      <c r="U77">
        <f t="shared" si="31"/>
        <v>0</v>
      </c>
      <c r="V77">
        <f t="shared" si="32"/>
        <v>0</v>
      </c>
      <c r="W77">
        <f t="shared" si="33"/>
        <v>0</v>
      </c>
      <c r="X77">
        <f t="shared" si="34"/>
        <v>0</v>
      </c>
    </row>
    <row r="78" spans="8:24" x14ac:dyDescent="0.3">
      <c r="H78">
        <f t="shared" si="18"/>
        <v>0</v>
      </c>
      <c r="I78">
        <f t="shared" si="19"/>
        <v>0</v>
      </c>
      <c r="J78">
        <f t="shared" si="20"/>
        <v>0</v>
      </c>
      <c r="K78">
        <f t="shared" si="21"/>
        <v>0</v>
      </c>
      <c r="L78">
        <f t="shared" si="22"/>
        <v>0</v>
      </c>
      <c r="M78" t="str">
        <f t="shared" si="23"/>
        <v>DOWN</v>
      </c>
      <c r="N78">
        <f t="shared" si="24"/>
        <v>0</v>
      </c>
      <c r="O78">
        <f t="shared" si="25"/>
        <v>0</v>
      </c>
      <c r="P78">
        <f t="shared" si="26"/>
        <v>0</v>
      </c>
      <c r="Q78">
        <f t="shared" si="27"/>
        <v>0</v>
      </c>
      <c r="R78">
        <f t="shared" si="28"/>
        <v>0</v>
      </c>
      <c r="S78">
        <f t="shared" si="29"/>
        <v>0</v>
      </c>
      <c r="T78">
        <f t="shared" si="30"/>
        <v>0</v>
      </c>
      <c r="U78">
        <f t="shared" si="31"/>
        <v>0</v>
      </c>
      <c r="V78">
        <f t="shared" si="32"/>
        <v>0</v>
      </c>
      <c r="W78">
        <f t="shared" si="33"/>
        <v>0</v>
      </c>
      <c r="X78">
        <f t="shared" si="34"/>
        <v>0</v>
      </c>
    </row>
    <row r="79" spans="8:24" x14ac:dyDescent="0.3">
      <c r="H79">
        <f t="shared" si="18"/>
        <v>0</v>
      </c>
      <c r="I79">
        <f t="shared" si="19"/>
        <v>0</v>
      </c>
      <c r="J79">
        <f t="shared" si="20"/>
        <v>0</v>
      </c>
      <c r="K79">
        <f t="shared" si="21"/>
        <v>0</v>
      </c>
      <c r="L79">
        <f t="shared" si="22"/>
        <v>0</v>
      </c>
      <c r="M79" t="str">
        <f t="shared" si="23"/>
        <v>DOWN</v>
      </c>
      <c r="N79">
        <f t="shared" si="24"/>
        <v>0</v>
      </c>
      <c r="O79">
        <f t="shared" si="25"/>
        <v>0</v>
      </c>
      <c r="P79">
        <f t="shared" si="26"/>
        <v>0</v>
      </c>
      <c r="Q79">
        <f t="shared" si="27"/>
        <v>0</v>
      </c>
      <c r="R79">
        <f t="shared" si="28"/>
        <v>0</v>
      </c>
      <c r="S79">
        <f t="shared" si="29"/>
        <v>0</v>
      </c>
      <c r="T79">
        <f t="shared" si="30"/>
        <v>0</v>
      </c>
      <c r="U79">
        <f t="shared" si="31"/>
        <v>0</v>
      </c>
      <c r="V79">
        <f t="shared" si="32"/>
        <v>0</v>
      </c>
      <c r="W79">
        <f t="shared" si="33"/>
        <v>0</v>
      </c>
      <c r="X79">
        <f t="shared" si="34"/>
        <v>0</v>
      </c>
    </row>
    <row r="80" spans="8:24" x14ac:dyDescent="0.3">
      <c r="H80">
        <f t="shared" si="18"/>
        <v>0</v>
      </c>
      <c r="I80">
        <f t="shared" si="19"/>
        <v>0</v>
      </c>
      <c r="J80">
        <f t="shared" si="20"/>
        <v>0</v>
      </c>
      <c r="K80">
        <f t="shared" si="21"/>
        <v>0</v>
      </c>
      <c r="L80">
        <f t="shared" si="22"/>
        <v>0</v>
      </c>
      <c r="M80" t="str">
        <f t="shared" si="23"/>
        <v>DOWN</v>
      </c>
      <c r="N80">
        <f t="shared" si="24"/>
        <v>0</v>
      </c>
      <c r="O80">
        <f t="shared" si="25"/>
        <v>0</v>
      </c>
      <c r="P80">
        <f t="shared" si="26"/>
        <v>0</v>
      </c>
      <c r="Q80">
        <f t="shared" si="27"/>
        <v>0</v>
      </c>
      <c r="R80">
        <f t="shared" si="28"/>
        <v>0</v>
      </c>
      <c r="S80">
        <f t="shared" si="29"/>
        <v>0</v>
      </c>
      <c r="T80">
        <f t="shared" si="30"/>
        <v>0</v>
      </c>
      <c r="U80">
        <f t="shared" si="31"/>
        <v>0</v>
      </c>
      <c r="V80">
        <f t="shared" si="32"/>
        <v>0</v>
      </c>
      <c r="W80">
        <f t="shared" si="33"/>
        <v>0</v>
      </c>
      <c r="X80">
        <f t="shared" si="34"/>
        <v>0</v>
      </c>
    </row>
    <row r="81" spans="8:24" x14ac:dyDescent="0.3">
      <c r="H81">
        <f t="shared" si="18"/>
        <v>0</v>
      </c>
      <c r="I81">
        <f t="shared" si="19"/>
        <v>0</v>
      </c>
      <c r="J81">
        <f t="shared" si="20"/>
        <v>0</v>
      </c>
      <c r="K81">
        <f t="shared" si="21"/>
        <v>0</v>
      </c>
      <c r="L81">
        <f t="shared" si="22"/>
        <v>0</v>
      </c>
      <c r="M81" t="str">
        <f t="shared" si="23"/>
        <v>DOWN</v>
      </c>
      <c r="N81">
        <f t="shared" si="24"/>
        <v>0</v>
      </c>
      <c r="O81">
        <f t="shared" si="25"/>
        <v>0</v>
      </c>
      <c r="P81">
        <f t="shared" si="26"/>
        <v>0</v>
      </c>
      <c r="Q81">
        <f t="shared" si="27"/>
        <v>0</v>
      </c>
      <c r="R81">
        <f t="shared" si="28"/>
        <v>0</v>
      </c>
      <c r="S81">
        <f t="shared" si="29"/>
        <v>0</v>
      </c>
      <c r="T81">
        <f t="shared" si="30"/>
        <v>0</v>
      </c>
      <c r="U81">
        <f t="shared" si="31"/>
        <v>0</v>
      </c>
      <c r="V81">
        <f t="shared" si="32"/>
        <v>0</v>
      </c>
      <c r="W81">
        <f t="shared" si="33"/>
        <v>0</v>
      </c>
      <c r="X81">
        <f t="shared" si="34"/>
        <v>0</v>
      </c>
    </row>
    <row r="82" spans="8:24" x14ac:dyDescent="0.3">
      <c r="H82">
        <f t="shared" si="18"/>
        <v>0</v>
      </c>
      <c r="I82">
        <f t="shared" si="19"/>
        <v>0</v>
      </c>
      <c r="J82">
        <f t="shared" si="20"/>
        <v>0</v>
      </c>
      <c r="K82">
        <f t="shared" si="21"/>
        <v>0</v>
      </c>
      <c r="L82">
        <f t="shared" si="22"/>
        <v>0</v>
      </c>
      <c r="M82" t="str">
        <f t="shared" si="23"/>
        <v>DOWN</v>
      </c>
      <c r="N82">
        <f t="shared" si="24"/>
        <v>0</v>
      </c>
      <c r="O82">
        <f t="shared" si="25"/>
        <v>0</v>
      </c>
      <c r="P82">
        <f t="shared" si="26"/>
        <v>0</v>
      </c>
      <c r="Q82">
        <f t="shared" si="27"/>
        <v>0</v>
      </c>
      <c r="R82">
        <f t="shared" si="28"/>
        <v>0</v>
      </c>
      <c r="S82">
        <f t="shared" si="29"/>
        <v>0</v>
      </c>
      <c r="T82">
        <f t="shared" si="30"/>
        <v>0</v>
      </c>
      <c r="U82">
        <f t="shared" si="31"/>
        <v>0</v>
      </c>
      <c r="V82">
        <f t="shared" si="32"/>
        <v>0</v>
      </c>
      <c r="W82">
        <f t="shared" si="33"/>
        <v>0</v>
      </c>
      <c r="X82">
        <f t="shared" si="34"/>
        <v>0</v>
      </c>
    </row>
    <row r="83" spans="8:24" x14ac:dyDescent="0.3">
      <c r="H83">
        <f t="shared" si="18"/>
        <v>0</v>
      </c>
      <c r="I83">
        <f t="shared" si="19"/>
        <v>0</v>
      </c>
      <c r="J83">
        <f t="shared" si="20"/>
        <v>0</v>
      </c>
      <c r="K83">
        <f t="shared" si="21"/>
        <v>0</v>
      </c>
      <c r="L83">
        <f t="shared" si="22"/>
        <v>0</v>
      </c>
      <c r="M83" t="str">
        <f t="shared" si="23"/>
        <v>DOWN</v>
      </c>
      <c r="N83">
        <f t="shared" si="24"/>
        <v>0</v>
      </c>
      <c r="O83">
        <f t="shared" si="25"/>
        <v>0</v>
      </c>
      <c r="P83">
        <f t="shared" si="26"/>
        <v>0</v>
      </c>
      <c r="Q83">
        <f t="shared" si="27"/>
        <v>0</v>
      </c>
      <c r="R83">
        <f t="shared" si="28"/>
        <v>0</v>
      </c>
      <c r="S83">
        <f t="shared" si="29"/>
        <v>0</v>
      </c>
      <c r="T83">
        <f t="shared" si="30"/>
        <v>0</v>
      </c>
      <c r="U83">
        <f t="shared" si="31"/>
        <v>0</v>
      </c>
      <c r="V83">
        <f t="shared" si="32"/>
        <v>0</v>
      </c>
      <c r="W83">
        <f t="shared" si="33"/>
        <v>0</v>
      </c>
      <c r="X83">
        <f t="shared" si="34"/>
        <v>0</v>
      </c>
    </row>
    <row r="84" spans="8:24" x14ac:dyDescent="0.3">
      <c r="H84">
        <f t="shared" si="18"/>
        <v>0</v>
      </c>
      <c r="I84">
        <f t="shared" si="19"/>
        <v>0</v>
      </c>
      <c r="J84">
        <f t="shared" si="20"/>
        <v>0</v>
      </c>
      <c r="K84">
        <f t="shared" si="21"/>
        <v>0</v>
      </c>
      <c r="L84">
        <f t="shared" si="22"/>
        <v>0</v>
      </c>
      <c r="M84" t="str">
        <f t="shared" si="23"/>
        <v>DOWN</v>
      </c>
      <c r="N84">
        <f t="shared" si="24"/>
        <v>0</v>
      </c>
      <c r="O84">
        <f t="shared" si="25"/>
        <v>0</v>
      </c>
      <c r="P84">
        <f t="shared" si="26"/>
        <v>0</v>
      </c>
      <c r="Q84">
        <f t="shared" si="27"/>
        <v>0</v>
      </c>
      <c r="R84">
        <f t="shared" si="28"/>
        <v>0</v>
      </c>
      <c r="S84">
        <f t="shared" si="29"/>
        <v>0</v>
      </c>
      <c r="T84">
        <f t="shared" si="30"/>
        <v>0</v>
      </c>
      <c r="U84">
        <f t="shared" si="31"/>
        <v>0</v>
      </c>
      <c r="V84">
        <f t="shared" si="32"/>
        <v>0</v>
      </c>
      <c r="W84">
        <f t="shared" si="33"/>
        <v>0</v>
      </c>
      <c r="X84">
        <f t="shared" si="34"/>
        <v>0</v>
      </c>
    </row>
    <row r="85" spans="8:24" x14ac:dyDescent="0.3">
      <c r="H85">
        <f t="shared" si="18"/>
        <v>0</v>
      </c>
      <c r="I85">
        <f t="shared" si="19"/>
        <v>0</v>
      </c>
      <c r="J85">
        <f t="shared" si="20"/>
        <v>0</v>
      </c>
      <c r="K85">
        <f t="shared" si="21"/>
        <v>0</v>
      </c>
      <c r="L85">
        <f t="shared" si="22"/>
        <v>0</v>
      </c>
      <c r="M85" t="str">
        <f t="shared" si="23"/>
        <v>DOWN</v>
      </c>
      <c r="N85">
        <f t="shared" si="24"/>
        <v>0</v>
      </c>
      <c r="O85">
        <f t="shared" si="25"/>
        <v>0</v>
      </c>
      <c r="P85">
        <f t="shared" si="26"/>
        <v>0</v>
      </c>
      <c r="Q85">
        <f t="shared" si="27"/>
        <v>0</v>
      </c>
      <c r="R85">
        <f t="shared" si="28"/>
        <v>0</v>
      </c>
      <c r="S85">
        <f t="shared" si="29"/>
        <v>0</v>
      </c>
      <c r="T85">
        <f t="shared" si="30"/>
        <v>0</v>
      </c>
      <c r="U85">
        <f t="shared" si="31"/>
        <v>0</v>
      </c>
      <c r="V85">
        <f t="shared" si="32"/>
        <v>0</v>
      </c>
      <c r="W85">
        <f t="shared" si="33"/>
        <v>0</v>
      </c>
      <c r="X85">
        <f t="shared" si="34"/>
        <v>0</v>
      </c>
    </row>
    <row r="86" spans="8:24" x14ac:dyDescent="0.3">
      <c r="H86">
        <f t="shared" si="18"/>
        <v>0</v>
      </c>
      <c r="I86">
        <f t="shared" si="19"/>
        <v>0</v>
      </c>
      <c r="J86">
        <f t="shared" si="20"/>
        <v>0</v>
      </c>
      <c r="K86">
        <f t="shared" si="21"/>
        <v>0</v>
      </c>
      <c r="L86">
        <f t="shared" si="22"/>
        <v>0</v>
      </c>
      <c r="M86" t="str">
        <f t="shared" si="23"/>
        <v>DOWN</v>
      </c>
      <c r="N86">
        <f t="shared" si="24"/>
        <v>0</v>
      </c>
      <c r="O86">
        <f t="shared" si="25"/>
        <v>0</v>
      </c>
      <c r="P86">
        <f t="shared" si="26"/>
        <v>0</v>
      </c>
      <c r="Q86">
        <f t="shared" si="27"/>
        <v>0</v>
      </c>
      <c r="R86">
        <f t="shared" si="28"/>
        <v>0</v>
      </c>
      <c r="S86">
        <f t="shared" si="29"/>
        <v>0</v>
      </c>
      <c r="T86">
        <f t="shared" si="30"/>
        <v>0</v>
      </c>
      <c r="U86">
        <f t="shared" si="31"/>
        <v>0</v>
      </c>
      <c r="V86">
        <f t="shared" si="32"/>
        <v>0</v>
      </c>
      <c r="W86">
        <f t="shared" si="33"/>
        <v>0</v>
      </c>
      <c r="X86">
        <f t="shared" si="34"/>
        <v>0</v>
      </c>
    </row>
    <row r="87" spans="8:24" x14ac:dyDescent="0.3">
      <c r="H87">
        <f t="shared" si="18"/>
        <v>0</v>
      </c>
      <c r="I87">
        <f t="shared" si="19"/>
        <v>0</v>
      </c>
      <c r="J87">
        <f t="shared" si="20"/>
        <v>0</v>
      </c>
      <c r="K87">
        <f t="shared" si="21"/>
        <v>0</v>
      </c>
      <c r="L87">
        <f t="shared" si="22"/>
        <v>0</v>
      </c>
      <c r="M87" t="str">
        <f t="shared" si="23"/>
        <v>DOWN</v>
      </c>
      <c r="N87">
        <f t="shared" si="24"/>
        <v>0</v>
      </c>
      <c r="O87">
        <f t="shared" si="25"/>
        <v>0</v>
      </c>
      <c r="P87">
        <f t="shared" si="26"/>
        <v>0</v>
      </c>
      <c r="Q87">
        <f t="shared" si="27"/>
        <v>0</v>
      </c>
      <c r="R87">
        <f t="shared" si="28"/>
        <v>0</v>
      </c>
      <c r="S87">
        <f t="shared" si="29"/>
        <v>0</v>
      </c>
      <c r="T87">
        <f t="shared" si="30"/>
        <v>0</v>
      </c>
      <c r="U87">
        <f t="shared" si="31"/>
        <v>0</v>
      </c>
      <c r="V87">
        <f t="shared" si="32"/>
        <v>0</v>
      </c>
      <c r="W87">
        <f t="shared" si="33"/>
        <v>0</v>
      </c>
      <c r="X87">
        <f t="shared" si="34"/>
        <v>0</v>
      </c>
    </row>
    <row r="88" spans="8:24" x14ac:dyDescent="0.3">
      <c r="H88">
        <f t="shared" si="18"/>
        <v>0</v>
      </c>
      <c r="I88">
        <f t="shared" si="19"/>
        <v>0</v>
      </c>
      <c r="J88">
        <f t="shared" si="20"/>
        <v>0</v>
      </c>
      <c r="K88">
        <f t="shared" si="21"/>
        <v>0</v>
      </c>
      <c r="L88">
        <f t="shared" si="22"/>
        <v>0</v>
      </c>
      <c r="M88" t="str">
        <f t="shared" si="23"/>
        <v>DOWN</v>
      </c>
      <c r="N88">
        <f t="shared" si="24"/>
        <v>0</v>
      </c>
      <c r="O88">
        <f t="shared" si="25"/>
        <v>0</v>
      </c>
      <c r="P88">
        <f t="shared" si="26"/>
        <v>0</v>
      </c>
      <c r="Q88">
        <f t="shared" si="27"/>
        <v>0</v>
      </c>
      <c r="R88">
        <f t="shared" si="28"/>
        <v>0</v>
      </c>
      <c r="S88">
        <f t="shared" si="29"/>
        <v>0</v>
      </c>
      <c r="T88">
        <f t="shared" si="30"/>
        <v>0</v>
      </c>
      <c r="U88">
        <f t="shared" si="31"/>
        <v>0</v>
      </c>
      <c r="V88">
        <f t="shared" si="32"/>
        <v>0</v>
      </c>
      <c r="W88">
        <f t="shared" si="33"/>
        <v>0</v>
      </c>
      <c r="X88">
        <f t="shared" si="34"/>
        <v>0</v>
      </c>
    </row>
    <row r="89" spans="8:24" x14ac:dyDescent="0.3">
      <c r="H89">
        <f t="shared" si="18"/>
        <v>0</v>
      </c>
      <c r="I89">
        <f t="shared" si="19"/>
        <v>0</v>
      </c>
      <c r="J89">
        <f t="shared" si="20"/>
        <v>0</v>
      </c>
      <c r="K89">
        <f t="shared" si="21"/>
        <v>0</v>
      </c>
      <c r="L89">
        <f t="shared" si="22"/>
        <v>0</v>
      </c>
      <c r="M89" t="str">
        <f t="shared" si="23"/>
        <v>DOWN</v>
      </c>
      <c r="N89">
        <f t="shared" si="24"/>
        <v>0</v>
      </c>
      <c r="O89">
        <f t="shared" si="25"/>
        <v>0</v>
      </c>
      <c r="P89">
        <f t="shared" si="26"/>
        <v>0</v>
      </c>
      <c r="Q89">
        <f t="shared" si="27"/>
        <v>0</v>
      </c>
      <c r="R89">
        <f t="shared" si="28"/>
        <v>0</v>
      </c>
      <c r="S89">
        <f t="shared" si="29"/>
        <v>0</v>
      </c>
      <c r="T89">
        <f t="shared" si="30"/>
        <v>0</v>
      </c>
      <c r="U89">
        <f t="shared" si="31"/>
        <v>0</v>
      </c>
      <c r="V89">
        <f t="shared" si="32"/>
        <v>0</v>
      </c>
      <c r="W89">
        <f t="shared" si="33"/>
        <v>0</v>
      </c>
      <c r="X89">
        <f t="shared" si="34"/>
        <v>0</v>
      </c>
    </row>
    <row r="90" spans="8:24" x14ac:dyDescent="0.3">
      <c r="H90">
        <f t="shared" si="18"/>
        <v>0</v>
      </c>
      <c r="I90">
        <f t="shared" si="19"/>
        <v>0</v>
      </c>
      <c r="J90">
        <f t="shared" si="20"/>
        <v>0</v>
      </c>
      <c r="K90">
        <f t="shared" si="21"/>
        <v>0</v>
      </c>
      <c r="L90">
        <f t="shared" si="22"/>
        <v>0</v>
      </c>
      <c r="M90" t="str">
        <f t="shared" si="23"/>
        <v>DOWN</v>
      </c>
      <c r="N90">
        <f t="shared" si="24"/>
        <v>0</v>
      </c>
      <c r="O90">
        <f t="shared" si="25"/>
        <v>0</v>
      </c>
      <c r="P90">
        <f t="shared" si="26"/>
        <v>0</v>
      </c>
      <c r="Q90">
        <f t="shared" si="27"/>
        <v>0</v>
      </c>
      <c r="R90">
        <f t="shared" si="28"/>
        <v>0</v>
      </c>
      <c r="S90">
        <f t="shared" si="29"/>
        <v>0</v>
      </c>
      <c r="T90">
        <f t="shared" si="30"/>
        <v>0</v>
      </c>
      <c r="U90">
        <f t="shared" si="31"/>
        <v>0</v>
      </c>
      <c r="V90">
        <f t="shared" si="32"/>
        <v>0</v>
      </c>
      <c r="W90">
        <f t="shared" si="33"/>
        <v>0</v>
      </c>
      <c r="X90">
        <f t="shared" si="34"/>
        <v>0</v>
      </c>
    </row>
    <row r="91" spans="8:24" x14ac:dyDescent="0.3">
      <c r="H91">
        <f t="shared" si="18"/>
        <v>0</v>
      </c>
      <c r="I91">
        <f t="shared" si="19"/>
        <v>0</v>
      </c>
      <c r="J91">
        <f t="shared" si="20"/>
        <v>0</v>
      </c>
      <c r="K91">
        <f t="shared" si="21"/>
        <v>0</v>
      </c>
      <c r="L91">
        <f t="shared" si="22"/>
        <v>0</v>
      </c>
      <c r="M91" t="str">
        <f t="shared" si="23"/>
        <v>DOWN</v>
      </c>
      <c r="N91">
        <f t="shared" si="24"/>
        <v>0</v>
      </c>
      <c r="O91">
        <f t="shared" si="25"/>
        <v>0</v>
      </c>
      <c r="P91">
        <f t="shared" si="26"/>
        <v>0</v>
      </c>
      <c r="Q91">
        <f t="shared" si="27"/>
        <v>0</v>
      </c>
      <c r="R91">
        <f t="shared" si="28"/>
        <v>0</v>
      </c>
      <c r="S91">
        <f t="shared" si="29"/>
        <v>0</v>
      </c>
      <c r="T91">
        <f t="shared" si="30"/>
        <v>0</v>
      </c>
      <c r="U91">
        <f t="shared" si="31"/>
        <v>0</v>
      </c>
      <c r="V91">
        <f t="shared" si="32"/>
        <v>0</v>
      </c>
      <c r="W91">
        <f t="shared" si="33"/>
        <v>0</v>
      </c>
      <c r="X91">
        <f t="shared" si="34"/>
        <v>0</v>
      </c>
    </row>
    <row r="92" spans="8:24" x14ac:dyDescent="0.3">
      <c r="H92">
        <f t="shared" si="18"/>
        <v>0</v>
      </c>
      <c r="I92">
        <f t="shared" si="19"/>
        <v>0</v>
      </c>
      <c r="J92">
        <f t="shared" si="20"/>
        <v>0</v>
      </c>
      <c r="K92">
        <f t="shared" si="21"/>
        <v>0</v>
      </c>
      <c r="L92">
        <f t="shared" si="22"/>
        <v>0</v>
      </c>
      <c r="M92" t="str">
        <f t="shared" si="23"/>
        <v>DOWN</v>
      </c>
      <c r="N92">
        <f t="shared" si="24"/>
        <v>0</v>
      </c>
      <c r="O92">
        <f t="shared" si="25"/>
        <v>0</v>
      </c>
      <c r="P92">
        <f t="shared" si="26"/>
        <v>0</v>
      </c>
      <c r="Q92">
        <f t="shared" si="27"/>
        <v>0</v>
      </c>
      <c r="R92">
        <f t="shared" si="28"/>
        <v>0</v>
      </c>
      <c r="S92">
        <f t="shared" si="29"/>
        <v>0</v>
      </c>
      <c r="T92">
        <f t="shared" si="30"/>
        <v>0</v>
      </c>
      <c r="U92">
        <f t="shared" si="31"/>
        <v>0</v>
      </c>
      <c r="V92">
        <f t="shared" si="32"/>
        <v>0</v>
      </c>
      <c r="W92">
        <f t="shared" si="33"/>
        <v>0</v>
      </c>
      <c r="X92">
        <f t="shared" si="34"/>
        <v>0</v>
      </c>
    </row>
    <row r="93" spans="8:24" x14ac:dyDescent="0.3">
      <c r="H93">
        <f t="shared" si="18"/>
        <v>0</v>
      </c>
      <c r="I93">
        <f t="shared" si="19"/>
        <v>0</v>
      </c>
      <c r="J93">
        <f t="shared" si="20"/>
        <v>0</v>
      </c>
      <c r="K93">
        <f t="shared" si="21"/>
        <v>0</v>
      </c>
      <c r="L93">
        <f t="shared" si="22"/>
        <v>0</v>
      </c>
      <c r="M93" t="str">
        <f t="shared" si="23"/>
        <v>DOWN</v>
      </c>
      <c r="N93">
        <f t="shared" si="24"/>
        <v>0</v>
      </c>
      <c r="O93">
        <f t="shared" si="25"/>
        <v>0</v>
      </c>
      <c r="P93">
        <f t="shared" si="26"/>
        <v>0</v>
      </c>
      <c r="Q93">
        <f t="shared" si="27"/>
        <v>0</v>
      </c>
      <c r="R93">
        <f t="shared" si="28"/>
        <v>0</v>
      </c>
      <c r="S93">
        <f t="shared" si="29"/>
        <v>0</v>
      </c>
      <c r="T93">
        <f t="shared" si="30"/>
        <v>0</v>
      </c>
      <c r="U93">
        <f t="shared" si="31"/>
        <v>0</v>
      </c>
      <c r="V93">
        <f t="shared" si="32"/>
        <v>0</v>
      </c>
      <c r="W93">
        <f t="shared" si="33"/>
        <v>0</v>
      </c>
      <c r="X93">
        <f t="shared" si="34"/>
        <v>0</v>
      </c>
    </row>
    <row r="94" spans="8:24" x14ac:dyDescent="0.3">
      <c r="H94">
        <f t="shared" si="18"/>
        <v>0</v>
      </c>
      <c r="I94">
        <f t="shared" si="19"/>
        <v>0</v>
      </c>
      <c r="J94">
        <f t="shared" si="20"/>
        <v>0</v>
      </c>
      <c r="K94">
        <f t="shared" si="21"/>
        <v>0</v>
      </c>
      <c r="L94">
        <f t="shared" si="22"/>
        <v>0</v>
      </c>
      <c r="M94" t="str">
        <f t="shared" si="23"/>
        <v>DOWN</v>
      </c>
      <c r="N94">
        <f t="shared" si="24"/>
        <v>0</v>
      </c>
      <c r="O94">
        <f t="shared" si="25"/>
        <v>0</v>
      </c>
      <c r="P94">
        <f t="shared" si="26"/>
        <v>0</v>
      </c>
      <c r="Q94">
        <f t="shared" si="27"/>
        <v>0</v>
      </c>
      <c r="R94">
        <f t="shared" si="28"/>
        <v>0</v>
      </c>
      <c r="S94">
        <f t="shared" si="29"/>
        <v>0</v>
      </c>
      <c r="T94">
        <f t="shared" si="30"/>
        <v>0</v>
      </c>
      <c r="U94">
        <f t="shared" si="31"/>
        <v>0</v>
      </c>
      <c r="V94">
        <f t="shared" si="32"/>
        <v>0</v>
      </c>
      <c r="W94">
        <f t="shared" si="33"/>
        <v>0</v>
      </c>
      <c r="X94">
        <f t="shared" si="34"/>
        <v>0</v>
      </c>
    </row>
    <row r="95" spans="8:24" x14ac:dyDescent="0.3">
      <c r="H95">
        <f t="shared" si="18"/>
        <v>0</v>
      </c>
      <c r="I95">
        <f t="shared" si="19"/>
        <v>0</v>
      </c>
      <c r="J95">
        <f t="shared" si="20"/>
        <v>0</v>
      </c>
      <c r="K95">
        <f t="shared" si="21"/>
        <v>0</v>
      </c>
      <c r="L95">
        <f t="shared" si="22"/>
        <v>0</v>
      </c>
      <c r="M95" t="str">
        <f t="shared" si="23"/>
        <v>DOWN</v>
      </c>
      <c r="N95">
        <f t="shared" si="24"/>
        <v>0</v>
      </c>
      <c r="O95">
        <f t="shared" si="25"/>
        <v>0</v>
      </c>
      <c r="P95">
        <f t="shared" si="26"/>
        <v>0</v>
      </c>
      <c r="Q95">
        <f t="shared" si="27"/>
        <v>0</v>
      </c>
      <c r="R95">
        <f t="shared" si="28"/>
        <v>0</v>
      </c>
      <c r="S95">
        <f t="shared" si="29"/>
        <v>0</v>
      </c>
      <c r="T95">
        <f t="shared" si="30"/>
        <v>0</v>
      </c>
      <c r="U95">
        <f t="shared" si="31"/>
        <v>0</v>
      </c>
      <c r="V95">
        <f t="shared" si="32"/>
        <v>0</v>
      </c>
      <c r="W95">
        <f t="shared" si="33"/>
        <v>0</v>
      </c>
      <c r="X95">
        <f t="shared" si="34"/>
        <v>0</v>
      </c>
    </row>
    <row r="96" spans="8:24" x14ac:dyDescent="0.3">
      <c r="H96">
        <f t="shared" si="18"/>
        <v>0</v>
      </c>
      <c r="I96">
        <f t="shared" si="19"/>
        <v>0</v>
      </c>
      <c r="J96">
        <f t="shared" si="20"/>
        <v>0</v>
      </c>
      <c r="K96">
        <f t="shared" si="21"/>
        <v>0</v>
      </c>
      <c r="L96">
        <f t="shared" si="22"/>
        <v>0</v>
      </c>
      <c r="M96" t="str">
        <f t="shared" si="23"/>
        <v>DOWN</v>
      </c>
      <c r="N96">
        <f t="shared" si="24"/>
        <v>0</v>
      </c>
      <c r="O96">
        <f t="shared" si="25"/>
        <v>0</v>
      </c>
      <c r="P96">
        <f t="shared" si="26"/>
        <v>0</v>
      </c>
      <c r="Q96">
        <f t="shared" si="27"/>
        <v>0</v>
      </c>
      <c r="R96">
        <f t="shared" si="28"/>
        <v>0</v>
      </c>
      <c r="S96">
        <f t="shared" si="29"/>
        <v>0</v>
      </c>
      <c r="T96">
        <f t="shared" si="30"/>
        <v>0</v>
      </c>
      <c r="U96">
        <f t="shared" si="31"/>
        <v>0</v>
      </c>
      <c r="V96">
        <f t="shared" si="32"/>
        <v>0</v>
      </c>
      <c r="W96">
        <f t="shared" si="33"/>
        <v>0</v>
      </c>
      <c r="X96">
        <f t="shared" si="34"/>
        <v>0</v>
      </c>
    </row>
    <row r="97" spans="8:24" x14ac:dyDescent="0.3">
      <c r="H97">
        <f t="shared" si="18"/>
        <v>0</v>
      </c>
      <c r="I97">
        <f t="shared" si="19"/>
        <v>0</v>
      </c>
      <c r="J97">
        <f t="shared" si="20"/>
        <v>0</v>
      </c>
      <c r="K97">
        <f t="shared" si="21"/>
        <v>0</v>
      </c>
      <c r="L97">
        <f t="shared" si="22"/>
        <v>0</v>
      </c>
      <c r="M97" t="str">
        <f t="shared" si="23"/>
        <v>DOWN</v>
      </c>
      <c r="N97">
        <f t="shared" si="24"/>
        <v>0</v>
      </c>
      <c r="O97">
        <f t="shared" si="25"/>
        <v>0</v>
      </c>
      <c r="P97">
        <f t="shared" si="26"/>
        <v>0</v>
      </c>
      <c r="Q97">
        <f t="shared" si="27"/>
        <v>0</v>
      </c>
      <c r="R97">
        <f t="shared" si="28"/>
        <v>0</v>
      </c>
      <c r="S97">
        <f t="shared" si="29"/>
        <v>0</v>
      </c>
      <c r="T97">
        <f t="shared" si="30"/>
        <v>0</v>
      </c>
      <c r="U97">
        <f t="shared" si="31"/>
        <v>0</v>
      </c>
      <c r="V97">
        <f t="shared" si="32"/>
        <v>0</v>
      </c>
      <c r="W97">
        <f t="shared" si="33"/>
        <v>0</v>
      </c>
      <c r="X97">
        <f t="shared" si="34"/>
        <v>0</v>
      </c>
    </row>
    <row r="98" spans="8:24" x14ac:dyDescent="0.3">
      <c r="H98">
        <f t="shared" si="18"/>
        <v>0</v>
      </c>
      <c r="I98">
        <f t="shared" si="19"/>
        <v>0</v>
      </c>
      <c r="J98">
        <f t="shared" si="20"/>
        <v>0</v>
      </c>
      <c r="K98">
        <f t="shared" si="21"/>
        <v>0</v>
      </c>
      <c r="L98">
        <f t="shared" si="22"/>
        <v>0</v>
      </c>
      <c r="M98" t="str">
        <f t="shared" si="23"/>
        <v>DOWN</v>
      </c>
      <c r="N98">
        <f t="shared" si="24"/>
        <v>0</v>
      </c>
      <c r="O98">
        <f t="shared" si="25"/>
        <v>0</v>
      </c>
      <c r="P98">
        <f t="shared" si="26"/>
        <v>0</v>
      </c>
      <c r="Q98">
        <f t="shared" si="27"/>
        <v>0</v>
      </c>
      <c r="R98">
        <f t="shared" si="28"/>
        <v>0</v>
      </c>
      <c r="S98">
        <f t="shared" si="29"/>
        <v>0</v>
      </c>
      <c r="T98">
        <f t="shared" si="30"/>
        <v>0</v>
      </c>
      <c r="U98">
        <f t="shared" si="31"/>
        <v>0</v>
      </c>
      <c r="V98">
        <f t="shared" si="32"/>
        <v>0</v>
      </c>
      <c r="W98">
        <f t="shared" si="33"/>
        <v>0</v>
      </c>
      <c r="X98">
        <f t="shared" si="34"/>
        <v>0</v>
      </c>
    </row>
    <row r="99" spans="8:24" x14ac:dyDescent="0.3">
      <c r="H99">
        <f t="shared" si="18"/>
        <v>0</v>
      </c>
      <c r="I99">
        <f t="shared" si="19"/>
        <v>0</v>
      </c>
      <c r="J99">
        <f t="shared" si="20"/>
        <v>0</v>
      </c>
      <c r="K99">
        <f t="shared" si="21"/>
        <v>0</v>
      </c>
      <c r="L99">
        <f t="shared" si="22"/>
        <v>0</v>
      </c>
      <c r="M99" t="str">
        <f t="shared" si="23"/>
        <v>DOWN</v>
      </c>
      <c r="N99">
        <f t="shared" si="24"/>
        <v>0</v>
      </c>
      <c r="O99">
        <f t="shared" si="25"/>
        <v>0</v>
      </c>
      <c r="P99">
        <f t="shared" si="26"/>
        <v>0</v>
      </c>
      <c r="Q99">
        <f t="shared" si="27"/>
        <v>0</v>
      </c>
      <c r="R99">
        <f t="shared" si="28"/>
        <v>0</v>
      </c>
      <c r="S99">
        <f t="shared" si="29"/>
        <v>0</v>
      </c>
      <c r="T99">
        <f t="shared" si="30"/>
        <v>0</v>
      </c>
      <c r="U99">
        <f t="shared" si="31"/>
        <v>0</v>
      </c>
      <c r="V99">
        <f t="shared" si="32"/>
        <v>0</v>
      </c>
      <c r="W99">
        <f t="shared" si="33"/>
        <v>0</v>
      </c>
      <c r="X99">
        <f t="shared" si="34"/>
        <v>0</v>
      </c>
    </row>
    <row r="100" spans="8:24" x14ac:dyDescent="0.3">
      <c r="H100">
        <f t="shared" si="18"/>
        <v>0</v>
      </c>
      <c r="I100">
        <f t="shared" si="19"/>
        <v>0</v>
      </c>
      <c r="J100">
        <f t="shared" si="20"/>
        <v>0</v>
      </c>
      <c r="K100">
        <f t="shared" si="21"/>
        <v>0</v>
      </c>
      <c r="L100">
        <f t="shared" si="22"/>
        <v>0</v>
      </c>
      <c r="M100" t="str">
        <f t="shared" si="23"/>
        <v>DOWN</v>
      </c>
      <c r="N100">
        <f t="shared" si="24"/>
        <v>0</v>
      </c>
      <c r="O100">
        <f t="shared" si="25"/>
        <v>0</v>
      </c>
      <c r="P100">
        <f t="shared" si="26"/>
        <v>0</v>
      </c>
      <c r="Q100">
        <f t="shared" si="27"/>
        <v>0</v>
      </c>
      <c r="R100">
        <f t="shared" si="28"/>
        <v>0</v>
      </c>
      <c r="S100">
        <f t="shared" si="29"/>
        <v>0</v>
      </c>
      <c r="T100">
        <f t="shared" si="30"/>
        <v>0</v>
      </c>
      <c r="U100">
        <f t="shared" si="31"/>
        <v>0</v>
      </c>
      <c r="V100">
        <f t="shared" si="32"/>
        <v>0</v>
      </c>
      <c r="W100">
        <f t="shared" si="33"/>
        <v>0</v>
      </c>
      <c r="X100">
        <f t="shared" si="34"/>
        <v>0</v>
      </c>
    </row>
    <row r="101" spans="8:24" x14ac:dyDescent="0.3">
      <c r="H101">
        <f t="shared" si="18"/>
        <v>0</v>
      </c>
      <c r="I101">
        <f t="shared" si="19"/>
        <v>0</v>
      </c>
      <c r="J101">
        <f t="shared" si="20"/>
        <v>0</v>
      </c>
      <c r="K101">
        <f t="shared" si="21"/>
        <v>0</v>
      </c>
      <c r="L101">
        <f t="shared" si="22"/>
        <v>0</v>
      </c>
      <c r="M101" t="str">
        <f t="shared" si="23"/>
        <v>DOWN</v>
      </c>
      <c r="N101">
        <f t="shared" si="24"/>
        <v>0</v>
      </c>
      <c r="O101">
        <f t="shared" si="25"/>
        <v>0</v>
      </c>
      <c r="P101">
        <f t="shared" si="26"/>
        <v>0</v>
      </c>
      <c r="Q101">
        <f t="shared" si="27"/>
        <v>0</v>
      </c>
      <c r="R101">
        <f t="shared" si="28"/>
        <v>0</v>
      </c>
      <c r="S101">
        <f t="shared" si="29"/>
        <v>0</v>
      </c>
      <c r="T101">
        <f t="shared" si="30"/>
        <v>0</v>
      </c>
      <c r="U101">
        <f t="shared" si="31"/>
        <v>0</v>
      </c>
      <c r="V101">
        <f t="shared" si="32"/>
        <v>0</v>
      </c>
      <c r="W101">
        <f t="shared" si="33"/>
        <v>0</v>
      </c>
      <c r="X101">
        <f t="shared" si="34"/>
        <v>0</v>
      </c>
    </row>
    <row r="102" spans="8:24" x14ac:dyDescent="0.3">
      <c r="H102">
        <f t="shared" si="18"/>
        <v>0</v>
      </c>
      <c r="I102">
        <f t="shared" si="19"/>
        <v>0</v>
      </c>
      <c r="J102">
        <f t="shared" si="20"/>
        <v>0</v>
      </c>
      <c r="K102">
        <f t="shared" si="21"/>
        <v>0</v>
      </c>
      <c r="L102">
        <f t="shared" si="22"/>
        <v>0</v>
      </c>
      <c r="M102" t="str">
        <f t="shared" si="23"/>
        <v>DOWN</v>
      </c>
      <c r="N102">
        <f t="shared" si="24"/>
        <v>0</v>
      </c>
      <c r="O102">
        <f t="shared" si="25"/>
        <v>0</v>
      </c>
      <c r="P102">
        <f t="shared" si="26"/>
        <v>0</v>
      </c>
      <c r="Q102">
        <f t="shared" si="27"/>
        <v>0</v>
      </c>
      <c r="R102">
        <f t="shared" si="28"/>
        <v>0</v>
      </c>
      <c r="S102">
        <f t="shared" si="29"/>
        <v>0</v>
      </c>
      <c r="T102">
        <f t="shared" si="30"/>
        <v>0</v>
      </c>
      <c r="U102">
        <f t="shared" si="31"/>
        <v>0</v>
      </c>
      <c r="V102">
        <f t="shared" si="32"/>
        <v>0</v>
      </c>
      <c r="W102">
        <f t="shared" si="33"/>
        <v>0</v>
      </c>
      <c r="X102">
        <f t="shared" si="34"/>
        <v>0</v>
      </c>
    </row>
    <row r="103" spans="8:24" x14ac:dyDescent="0.3">
      <c r="H103">
        <f t="shared" si="18"/>
        <v>0</v>
      </c>
      <c r="I103">
        <f t="shared" si="19"/>
        <v>0</v>
      </c>
      <c r="J103">
        <f t="shared" si="20"/>
        <v>0</v>
      </c>
      <c r="K103">
        <f t="shared" si="21"/>
        <v>0</v>
      </c>
      <c r="L103">
        <f t="shared" si="22"/>
        <v>0</v>
      </c>
      <c r="M103" t="str">
        <f t="shared" si="23"/>
        <v>DOWN</v>
      </c>
      <c r="N103">
        <f t="shared" si="24"/>
        <v>0</v>
      </c>
      <c r="O103">
        <f t="shared" si="25"/>
        <v>0</v>
      </c>
      <c r="P103">
        <f t="shared" si="26"/>
        <v>0</v>
      </c>
      <c r="Q103">
        <f t="shared" si="27"/>
        <v>0</v>
      </c>
      <c r="R103">
        <f t="shared" si="28"/>
        <v>0</v>
      </c>
      <c r="S103">
        <f t="shared" si="29"/>
        <v>0</v>
      </c>
      <c r="T103">
        <f t="shared" si="30"/>
        <v>0</v>
      </c>
      <c r="U103">
        <f t="shared" si="31"/>
        <v>0</v>
      </c>
      <c r="V103">
        <f t="shared" si="32"/>
        <v>0</v>
      </c>
      <c r="W103">
        <f t="shared" si="33"/>
        <v>0</v>
      </c>
      <c r="X103">
        <f t="shared" si="34"/>
        <v>0</v>
      </c>
    </row>
    <row r="104" spans="8:24" x14ac:dyDescent="0.3">
      <c r="H104">
        <f t="shared" si="18"/>
        <v>0</v>
      </c>
      <c r="I104">
        <f t="shared" si="19"/>
        <v>0</v>
      </c>
      <c r="J104">
        <f t="shared" si="20"/>
        <v>0</v>
      </c>
      <c r="K104">
        <f t="shared" si="21"/>
        <v>0</v>
      </c>
      <c r="L104">
        <f t="shared" si="22"/>
        <v>0</v>
      </c>
      <c r="M104" t="str">
        <f t="shared" si="23"/>
        <v>DOWN</v>
      </c>
      <c r="N104">
        <f t="shared" si="24"/>
        <v>0</v>
      </c>
      <c r="O104">
        <f t="shared" si="25"/>
        <v>0</v>
      </c>
      <c r="P104">
        <f t="shared" si="26"/>
        <v>0</v>
      </c>
      <c r="Q104">
        <f t="shared" si="27"/>
        <v>0</v>
      </c>
      <c r="R104">
        <f t="shared" si="28"/>
        <v>0</v>
      </c>
      <c r="S104">
        <f t="shared" si="29"/>
        <v>0</v>
      </c>
      <c r="T104">
        <f t="shared" si="30"/>
        <v>0</v>
      </c>
      <c r="U104">
        <f t="shared" si="31"/>
        <v>0</v>
      </c>
      <c r="V104">
        <f t="shared" si="32"/>
        <v>0</v>
      </c>
      <c r="W104">
        <f t="shared" si="33"/>
        <v>0</v>
      </c>
      <c r="X104">
        <f t="shared" si="34"/>
        <v>0</v>
      </c>
    </row>
    <row r="105" spans="8:24" x14ac:dyDescent="0.3">
      <c r="H105">
        <f t="shared" si="18"/>
        <v>0</v>
      </c>
      <c r="I105">
        <f t="shared" si="19"/>
        <v>0</v>
      </c>
      <c r="J105">
        <f t="shared" si="20"/>
        <v>0</v>
      </c>
      <c r="K105">
        <f t="shared" si="21"/>
        <v>0</v>
      </c>
      <c r="L105">
        <f t="shared" si="22"/>
        <v>0</v>
      </c>
      <c r="M105" t="str">
        <f t="shared" si="23"/>
        <v>DOWN</v>
      </c>
      <c r="N105">
        <f t="shared" si="24"/>
        <v>0</v>
      </c>
      <c r="O105">
        <f t="shared" si="25"/>
        <v>0</v>
      </c>
      <c r="P105">
        <f t="shared" si="26"/>
        <v>0</v>
      </c>
      <c r="Q105">
        <f t="shared" si="27"/>
        <v>0</v>
      </c>
      <c r="R105">
        <f t="shared" si="28"/>
        <v>0</v>
      </c>
      <c r="S105">
        <f t="shared" si="29"/>
        <v>0</v>
      </c>
      <c r="T105">
        <f t="shared" si="30"/>
        <v>0</v>
      </c>
      <c r="U105">
        <f t="shared" si="31"/>
        <v>0</v>
      </c>
      <c r="V105">
        <f t="shared" si="32"/>
        <v>0</v>
      </c>
      <c r="W105">
        <f t="shared" si="33"/>
        <v>0</v>
      </c>
      <c r="X105">
        <f t="shared" si="34"/>
        <v>0</v>
      </c>
    </row>
    <row r="106" spans="8:24" x14ac:dyDescent="0.3">
      <c r="H106">
        <f t="shared" si="18"/>
        <v>0</v>
      </c>
      <c r="I106">
        <f t="shared" si="19"/>
        <v>0</v>
      </c>
      <c r="J106">
        <f t="shared" si="20"/>
        <v>0</v>
      </c>
      <c r="K106">
        <f t="shared" si="21"/>
        <v>0</v>
      </c>
      <c r="L106">
        <f t="shared" si="22"/>
        <v>0</v>
      </c>
      <c r="M106" t="str">
        <f t="shared" si="23"/>
        <v>DOWN</v>
      </c>
      <c r="N106">
        <f t="shared" si="24"/>
        <v>0</v>
      </c>
      <c r="O106">
        <f t="shared" si="25"/>
        <v>0</v>
      </c>
      <c r="P106">
        <f t="shared" si="26"/>
        <v>0</v>
      </c>
      <c r="Q106">
        <f t="shared" si="27"/>
        <v>0</v>
      </c>
      <c r="R106">
        <f t="shared" si="28"/>
        <v>0</v>
      </c>
      <c r="S106">
        <f t="shared" si="29"/>
        <v>0</v>
      </c>
      <c r="T106">
        <f t="shared" si="30"/>
        <v>0</v>
      </c>
      <c r="U106">
        <f t="shared" si="31"/>
        <v>0</v>
      </c>
      <c r="V106">
        <f t="shared" si="32"/>
        <v>0</v>
      </c>
      <c r="W106">
        <f t="shared" si="33"/>
        <v>0</v>
      </c>
      <c r="X106">
        <f t="shared" si="34"/>
        <v>0</v>
      </c>
    </row>
    <row r="107" spans="8:24" x14ac:dyDescent="0.3">
      <c r="H107">
        <f t="shared" si="18"/>
        <v>0</v>
      </c>
      <c r="I107">
        <f t="shared" si="19"/>
        <v>0</v>
      </c>
      <c r="J107">
        <f t="shared" si="20"/>
        <v>0</v>
      </c>
      <c r="K107">
        <f t="shared" si="21"/>
        <v>0</v>
      </c>
      <c r="L107">
        <f t="shared" si="22"/>
        <v>0</v>
      </c>
      <c r="M107" t="str">
        <f t="shared" si="23"/>
        <v>DOWN</v>
      </c>
      <c r="N107">
        <f t="shared" si="24"/>
        <v>0</v>
      </c>
      <c r="O107">
        <f t="shared" si="25"/>
        <v>0</v>
      </c>
      <c r="P107">
        <f t="shared" si="26"/>
        <v>0</v>
      </c>
      <c r="Q107">
        <f t="shared" si="27"/>
        <v>0</v>
      </c>
      <c r="R107">
        <f t="shared" si="28"/>
        <v>0</v>
      </c>
      <c r="S107">
        <f t="shared" si="29"/>
        <v>0</v>
      </c>
      <c r="T107">
        <f t="shared" si="30"/>
        <v>0</v>
      </c>
      <c r="U107">
        <f t="shared" si="31"/>
        <v>0</v>
      </c>
      <c r="V107">
        <f t="shared" si="32"/>
        <v>0</v>
      </c>
      <c r="W107">
        <f t="shared" si="33"/>
        <v>0</v>
      </c>
      <c r="X107">
        <f t="shared" si="34"/>
        <v>0</v>
      </c>
    </row>
    <row r="108" spans="8:24" x14ac:dyDescent="0.3">
      <c r="H108">
        <f t="shared" si="18"/>
        <v>0</v>
      </c>
      <c r="I108">
        <f t="shared" si="19"/>
        <v>0</v>
      </c>
      <c r="J108">
        <f t="shared" si="20"/>
        <v>0</v>
      </c>
      <c r="K108">
        <f t="shared" si="21"/>
        <v>0</v>
      </c>
      <c r="L108">
        <f t="shared" si="22"/>
        <v>0</v>
      </c>
      <c r="M108" t="str">
        <f t="shared" si="23"/>
        <v>DOWN</v>
      </c>
      <c r="N108">
        <f t="shared" si="24"/>
        <v>0</v>
      </c>
      <c r="O108">
        <f t="shared" si="25"/>
        <v>0</v>
      </c>
      <c r="P108">
        <f t="shared" si="26"/>
        <v>0</v>
      </c>
      <c r="Q108">
        <f t="shared" si="27"/>
        <v>0</v>
      </c>
      <c r="R108">
        <f t="shared" si="28"/>
        <v>0</v>
      </c>
      <c r="S108">
        <f t="shared" si="29"/>
        <v>0</v>
      </c>
      <c r="T108">
        <f t="shared" si="30"/>
        <v>0</v>
      </c>
      <c r="U108">
        <f t="shared" si="31"/>
        <v>0</v>
      </c>
      <c r="V108">
        <f t="shared" si="32"/>
        <v>0</v>
      </c>
      <c r="W108">
        <f t="shared" si="33"/>
        <v>0</v>
      </c>
      <c r="X108">
        <f t="shared" si="34"/>
        <v>0</v>
      </c>
    </row>
    <row r="109" spans="8:24" x14ac:dyDescent="0.3">
      <c r="H109">
        <f t="shared" si="18"/>
        <v>0</v>
      </c>
      <c r="I109">
        <f t="shared" si="19"/>
        <v>0</v>
      </c>
      <c r="J109">
        <f t="shared" si="20"/>
        <v>0</v>
      </c>
      <c r="K109">
        <f t="shared" si="21"/>
        <v>0</v>
      </c>
      <c r="L109">
        <f t="shared" si="22"/>
        <v>0</v>
      </c>
      <c r="M109" t="str">
        <f t="shared" si="23"/>
        <v>DOWN</v>
      </c>
      <c r="N109">
        <f t="shared" si="24"/>
        <v>0</v>
      </c>
      <c r="O109">
        <f t="shared" si="25"/>
        <v>0</v>
      </c>
      <c r="P109">
        <f t="shared" si="26"/>
        <v>0</v>
      </c>
      <c r="Q109">
        <f t="shared" si="27"/>
        <v>0</v>
      </c>
      <c r="R109">
        <f t="shared" si="28"/>
        <v>0</v>
      </c>
      <c r="S109">
        <f t="shared" si="29"/>
        <v>0</v>
      </c>
      <c r="T109">
        <f t="shared" si="30"/>
        <v>0</v>
      </c>
      <c r="U109">
        <f t="shared" si="31"/>
        <v>0</v>
      </c>
      <c r="V109">
        <f t="shared" si="32"/>
        <v>0</v>
      </c>
      <c r="W109">
        <f t="shared" si="33"/>
        <v>0</v>
      </c>
      <c r="X109">
        <f t="shared" si="34"/>
        <v>0</v>
      </c>
    </row>
    <row r="110" spans="8:24" x14ac:dyDescent="0.3">
      <c r="H110">
        <f t="shared" si="18"/>
        <v>0</v>
      </c>
      <c r="I110">
        <f t="shared" si="19"/>
        <v>0</v>
      </c>
      <c r="J110">
        <f t="shared" si="20"/>
        <v>0</v>
      </c>
      <c r="K110">
        <f t="shared" si="21"/>
        <v>0</v>
      </c>
      <c r="L110">
        <f t="shared" si="22"/>
        <v>0</v>
      </c>
      <c r="M110" t="str">
        <f t="shared" si="23"/>
        <v>DOWN</v>
      </c>
      <c r="N110">
        <f t="shared" si="24"/>
        <v>0</v>
      </c>
      <c r="O110">
        <f t="shared" si="25"/>
        <v>0</v>
      </c>
      <c r="P110">
        <f t="shared" si="26"/>
        <v>0</v>
      </c>
      <c r="Q110">
        <f t="shared" si="27"/>
        <v>0</v>
      </c>
      <c r="R110">
        <f t="shared" si="28"/>
        <v>0</v>
      </c>
      <c r="S110">
        <f t="shared" si="29"/>
        <v>0</v>
      </c>
      <c r="T110">
        <f t="shared" si="30"/>
        <v>0</v>
      </c>
      <c r="U110">
        <f t="shared" si="31"/>
        <v>0</v>
      </c>
      <c r="V110">
        <f t="shared" si="32"/>
        <v>0</v>
      </c>
      <c r="W110">
        <f t="shared" si="33"/>
        <v>0</v>
      </c>
      <c r="X110">
        <f t="shared" si="34"/>
        <v>0</v>
      </c>
    </row>
    <row r="111" spans="8:24" x14ac:dyDescent="0.3">
      <c r="H111">
        <f t="shared" si="18"/>
        <v>0</v>
      </c>
      <c r="I111">
        <f t="shared" si="19"/>
        <v>0</v>
      </c>
      <c r="J111">
        <f t="shared" si="20"/>
        <v>0</v>
      </c>
      <c r="K111">
        <f t="shared" si="21"/>
        <v>0</v>
      </c>
      <c r="L111">
        <f t="shared" si="22"/>
        <v>0</v>
      </c>
      <c r="M111" t="str">
        <f t="shared" si="23"/>
        <v>DOWN</v>
      </c>
      <c r="N111">
        <f t="shared" si="24"/>
        <v>0</v>
      </c>
      <c r="O111">
        <f t="shared" si="25"/>
        <v>0</v>
      </c>
      <c r="P111">
        <f t="shared" si="26"/>
        <v>0</v>
      </c>
      <c r="Q111">
        <f t="shared" si="27"/>
        <v>0</v>
      </c>
      <c r="R111">
        <f t="shared" si="28"/>
        <v>0</v>
      </c>
      <c r="S111">
        <f t="shared" si="29"/>
        <v>0</v>
      </c>
      <c r="T111">
        <f t="shared" si="30"/>
        <v>0</v>
      </c>
      <c r="U111">
        <f t="shared" si="31"/>
        <v>0</v>
      </c>
      <c r="V111">
        <f t="shared" si="32"/>
        <v>0</v>
      </c>
      <c r="W111">
        <f t="shared" si="33"/>
        <v>0</v>
      </c>
      <c r="X111">
        <f t="shared" si="34"/>
        <v>0</v>
      </c>
    </row>
    <row r="112" spans="8:24" x14ac:dyDescent="0.3">
      <c r="H112">
        <f t="shared" si="18"/>
        <v>0</v>
      </c>
      <c r="I112">
        <f t="shared" si="19"/>
        <v>0</v>
      </c>
      <c r="J112">
        <f t="shared" si="20"/>
        <v>0</v>
      </c>
      <c r="K112">
        <f t="shared" si="21"/>
        <v>0</v>
      </c>
      <c r="L112">
        <f t="shared" si="22"/>
        <v>0</v>
      </c>
      <c r="M112" t="str">
        <f t="shared" si="23"/>
        <v>DOWN</v>
      </c>
      <c r="N112">
        <f t="shared" si="24"/>
        <v>0</v>
      </c>
      <c r="O112">
        <f t="shared" si="25"/>
        <v>0</v>
      </c>
      <c r="P112">
        <f t="shared" si="26"/>
        <v>0</v>
      </c>
      <c r="Q112">
        <f t="shared" si="27"/>
        <v>0</v>
      </c>
      <c r="R112">
        <f t="shared" si="28"/>
        <v>0</v>
      </c>
      <c r="S112">
        <f t="shared" si="29"/>
        <v>0</v>
      </c>
      <c r="T112">
        <f t="shared" si="30"/>
        <v>0</v>
      </c>
      <c r="U112">
        <f t="shared" si="31"/>
        <v>0</v>
      </c>
      <c r="V112">
        <f t="shared" si="32"/>
        <v>0</v>
      </c>
      <c r="W112">
        <f t="shared" si="33"/>
        <v>0</v>
      </c>
      <c r="X112">
        <f t="shared" si="34"/>
        <v>0</v>
      </c>
    </row>
    <row r="113" spans="8:24" x14ac:dyDescent="0.3">
      <c r="H113">
        <f t="shared" si="18"/>
        <v>0</v>
      </c>
      <c r="I113">
        <f t="shared" si="19"/>
        <v>0</v>
      </c>
      <c r="J113">
        <f t="shared" si="20"/>
        <v>0</v>
      </c>
      <c r="K113">
        <f t="shared" si="21"/>
        <v>0</v>
      </c>
      <c r="L113">
        <f t="shared" si="22"/>
        <v>0</v>
      </c>
      <c r="M113" t="str">
        <f t="shared" si="23"/>
        <v>DOWN</v>
      </c>
      <c r="N113">
        <f t="shared" si="24"/>
        <v>0</v>
      </c>
      <c r="O113">
        <f t="shared" si="25"/>
        <v>0</v>
      </c>
      <c r="P113">
        <f t="shared" si="26"/>
        <v>0</v>
      </c>
      <c r="Q113">
        <f t="shared" si="27"/>
        <v>0</v>
      </c>
      <c r="R113">
        <f t="shared" si="28"/>
        <v>0</v>
      </c>
      <c r="S113">
        <f t="shared" si="29"/>
        <v>0</v>
      </c>
      <c r="T113">
        <f t="shared" si="30"/>
        <v>0</v>
      </c>
      <c r="U113">
        <f t="shared" si="31"/>
        <v>0</v>
      </c>
      <c r="V113">
        <f t="shared" si="32"/>
        <v>0</v>
      </c>
      <c r="W113">
        <f t="shared" si="33"/>
        <v>0</v>
      </c>
      <c r="X113">
        <f t="shared" si="34"/>
        <v>0</v>
      </c>
    </row>
    <row r="114" spans="8:24" x14ac:dyDescent="0.3">
      <c r="H114">
        <f t="shared" si="18"/>
        <v>0</v>
      </c>
      <c r="I114">
        <f t="shared" si="19"/>
        <v>0</v>
      </c>
      <c r="J114">
        <f t="shared" si="20"/>
        <v>0</v>
      </c>
      <c r="K114">
        <f t="shared" si="21"/>
        <v>0</v>
      </c>
      <c r="L114">
        <f t="shared" si="22"/>
        <v>0</v>
      </c>
      <c r="M114" t="str">
        <f t="shared" si="23"/>
        <v>DOWN</v>
      </c>
      <c r="N114">
        <f t="shared" si="24"/>
        <v>0</v>
      </c>
      <c r="O114">
        <f t="shared" si="25"/>
        <v>0</v>
      </c>
      <c r="P114">
        <f t="shared" si="26"/>
        <v>0</v>
      </c>
      <c r="Q114">
        <f t="shared" si="27"/>
        <v>0</v>
      </c>
      <c r="R114">
        <f t="shared" si="28"/>
        <v>0</v>
      </c>
      <c r="S114">
        <f t="shared" si="29"/>
        <v>0</v>
      </c>
      <c r="T114">
        <f t="shared" si="30"/>
        <v>0</v>
      </c>
      <c r="U114">
        <f t="shared" si="31"/>
        <v>0</v>
      </c>
      <c r="V114">
        <f t="shared" si="32"/>
        <v>0</v>
      </c>
      <c r="W114">
        <f t="shared" si="33"/>
        <v>0</v>
      </c>
      <c r="X114">
        <f t="shared" si="34"/>
        <v>0</v>
      </c>
    </row>
    <row r="115" spans="8:24" x14ac:dyDescent="0.3">
      <c r="H115">
        <f t="shared" si="18"/>
        <v>0</v>
      </c>
      <c r="I115">
        <f t="shared" si="19"/>
        <v>0</v>
      </c>
      <c r="J115">
        <f t="shared" si="20"/>
        <v>0</v>
      </c>
      <c r="K115">
        <f t="shared" si="21"/>
        <v>0</v>
      </c>
      <c r="L115">
        <f t="shared" si="22"/>
        <v>0</v>
      </c>
      <c r="M115" t="str">
        <f t="shared" si="23"/>
        <v>DOWN</v>
      </c>
      <c r="N115">
        <f t="shared" si="24"/>
        <v>0</v>
      </c>
      <c r="O115">
        <f t="shared" si="25"/>
        <v>0</v>
      </c>
      <c r="P115">
        <f t="shared" si="26"/>
        <v>0</v>
      </c>
      <c r="Q115">
        <f t="shared" si="27"/>
        <v>0</v>
      </c>
      <c r="R115">
        <f t="shared" si="28"/>
        <v>0</v>
      </c>
      <c r="S115">
        <f t="shared" si="29"/>
        <v>0</v>
      </c>
      <c r="T115">
        <f t="shared" si="30"/>
        <v>0</v>
      </c>
      <c r="U115">
        <f t="shared" si="31"/>
        <v>0</v>
      </c>
      <c r="V115">
        <f t="shared" si="32"/>
        <v>0</v>
      </c>
      <c r="W115">
        <f t="shared" si="33"/>
        <v>0</v>
      </c>
      <c r="X115">
        <f t="shared" si="34"/>
        <v>0</v>
      </c>
    </row>
    <row r="116" spans="8:24" x14ac:dyDescent="0.3">
      <c r="H116">
        <f t="shared" si="18"/>
        <v>0</v>
      </c>
      <c r="I116">
        <f t="shared" si="19"/>
        <v>0</v>
      </c>
      <c r="J116">
        <f t="shared" si="20"/>
        <v>0</v>
      </c>
      <c r="K116">
        <f t="shared" si="21"/>
        <v>0</v>
      </c>
      <c r="L116">
        <f t="shared" si="22"/>
        <v>0</v>
      </c>
      <c r="M116" t="str">
        <f t="shared" si="23"/>
        <v>DOWN</v>
      </c>
      <c r="N116">
        <f t="shared" si="24"/>
        <v>0</v>
      </c>
      <c r="O116">
        <f t="shared" si="25"/>
        <v>0</v>
      </c>
      <c r="P116">
        <f t="shared" si="26"/>
        <v>0</v>
      </c>
      <c r="Q116">
        <f t="shared" si="27"/>
        <v>0</v>
      </c>
      <c r="R116">
        <f t="shared" si="28"/>
        <v>0</v>
      </c>
      <c r="S116">
        <f t="shared" si="29"/>
        <v>0</v>
      </c>
      <c r="T116">
        <f t="shared" si="30"/>
        <v>0</v>
      </c>
      <c r="U116">
        <f t="shared" si="31"/>
        <v>0</v>
      </c>
      <c r="V116">
        <f t="shared" si="32"/>
        <v>0</v>
      </c>
      <c r="W116">
        <f t="shared" si="33"/>
        <v>0</v>
      </c>
      <c r="X116">
        <f t="shared" si="34"/>
        <v>0</v>
      </c>
    </row>
    <row r="117" spans="8:24" x14ac:dyDescent="0.3">
      <c r="H117">
        <f t="shared" si="18"/>
        <v>0</v>
      </c>
      <c r="I117">
        <f t="shared" si="19"/>
        <v>0</v>
      </c>
      <c r="J117">
        <f t="shared" si="20"/>
        <v>0</v>
      </c>
      <c r="K117">
        <f t="shared" si="21"/>
        <v>0</v>
      </c>
      <c r="L117">
        <f t="shared" si="22"/>
        <v>0</v>
      </c>
      <c r="M117" t="str">
        <f t="shared" si="23"/>
        <v>DOWN</v>
      </c>
      <c r="N117">
        <f t="shared" si="24"/>
        <v>0</v>
      </c>
      <c r="O117">
        <f t="shared" si="25"/>
        <v>0</v>
      </c>
      <c r="P117">
        <f t="shared" si="26"/>
        <v>0</v>
      </c>
      <c r="Q117">
        <f t="shared" si="27"/>
        <v>0</v>
      </c>
      <c r="R117">
        <f t="shared" si="28"/>
        <v>0</v>
      </c>
      <c r="S117">
        <f t="shared" si="29"/>
        <v>0</v>
      </c>
      <c r="T117">
        <f t="shared" si="30"/>
        <v>0</v>
      </c>
      <c r="U117">
        <f t="shared" si="31"/>
        <v>0</v>
      </c>
      <c r="V117">
        <f t="shared" si="32"/>
        <v>0</v>
      </c>
      <c r="W117">
        <f t="shared" si="33"/>
        <v>0</v>
      </c>
      <c r="X117">
        <f t="shared" si="34"/>
        <v>0</v>
      </c>
    </row>
    <row r="118" spans="8:24" x14ac:dyDescent="0.3">
      <c r="H118">
        <f t="shared" si="18"/>
        <v>0</v>
      </c>
      <c r="I118">
        <f t="shared" si="19"/>
        <v>0</v>
      </c>
      <c r="J118">
        <f t="shared" si="20"/>
        <v>0</v>
      </c>
      <c r="K118">
        <f t="shared" si="21"/>
        <v>0</v>
      </c>
      <c r="L118">
        <f t="shared" si="22"/>
        <v>0</v>
      </c>
      <c r="M118" t="str">
        <f t="shared" si="23"/>
        <v>DOWN</v>
      </c>
      <c r="N118">
        <f t="shared" si="24"/>
        <v>0</v>
      </c>
      <c r="O118">
        <f t="shared" si="25"/>
        <v>0</v>
      </c>
      <c r="P118">
        <f t="shared" si="26"/>
        <v>0</v>
      </c>
      <c r="Q118">
        <f t="shared" si="27"/>
        <v>0</v>
      </c>
      <c r="R118">
        <f t="shared" si="28"/>
        <v>0</v>
      </c>
      <c r="S118">
        <f t="shared" si="29"/>
        <v>0</v>
      </c>
      <c r="T118">
        <f t="shared" si="30"/>
        <v>0</v>
      </c>
      <c r="U118">
        <f t="shared" si="31"/>
        <v>0</v>
      </c>
      <c r="V118">
        <f t="shared" si="32"/>
        <v>0</v>
      </c>
      <c r="W118">
        <f t="shared" si="33"/>
        <v>0</v>
      </c>
      <c r="X118">
        <f t="shared" si="34"/>
        <v>0</v>
      </c>
    </row>
    <row r="119" spans="8:24" x14ac:dyDescent="0.3">
      <c r="H119">
        <f t="shared" si="18"/>
        <v>0</v>
      </c>
      <c r="I119">
        <f t="shared" si="19"/>
        <v>0</v>
      </c>
      <c r="J119">
        <f t="shared" si="20"/>
        <v>0</v>
      </c>
      <c r="K119">
        <f t="shared" si="21"/>
        <v>0</v>
      </c>
      <c r="L119">
        <f t="shared" si="22"/>
        <v>0</v>
      </c>
      <c r="M119" t="str">
        <f t="shared" si="23"/>
        <v>DOWN</v>
      </c>
      <c r="N119">
        <f t="shared" si="24"/>
        <v>0</v>
      </c>
      <c r="O119">
        <f t="shared" si="25"/>
        <v>0</v>
      </c>
      <c r="P119">
        <f t="shared" si="26"/>
        <v>0</v>
      </c>
      <c r="Q119">
        <f t="shared" si="27"/>
        <v>0</v>
      </c>
      <c r="R119">
        <f t="shared" si="28"/>
        <v>0</v>
      </c>
      <c r="S119">
        <f t="shared" si="29"/>
        <v>0</v>
      </c>
      <c r="T119">
        <f t="shared" si="30"/>
        <v>0</v>
      </c>
      <c r="U119">
        <f t="shared" si="31"/>
        <v>0</v>
      </c>
      <c r="V119">
        <f t="shared" si="32"/>
        <v>0</v>
      </c>
      <c r="W119">
        <f t="shared" si="33"/>
        <v>0</v>
      </c>
      <c r="X119">
        <f t="shared" si="34"/>
        <v>0</v>
      </c>
    </row>
    <row r="120" spans="8:24" x14ac:dyDescent="0.3">
      <c r="H120">
        <f t="shared" si="18"/>
        <v>0</v>
      </c>
      <c r="I120">
        <f t="shared" si="19"/>
        <v>0</v>
      </c>
      <c r="J120">
        <f t="shared" si="20"/>
        <v>0</v>
      </c>
      <c r="K120">
        <f t="shared" si="21"/>
        <v>0</v>
      </c>
      <c r="L120">
        <f t="shared" si="22"/>
        <v>0</v>
      </c>
      <c r="M120" t="str">
        <f t="shared" si="23"/>
        <v>DOWN</v>
      </c>
      <c r="N120">
        <f t="shared" si="24"/>
        <v>0</v>
      </c>
      <c r="O120">
        <f t="shared" si="25"/>
        <v>0</v>
      </c>
      <c r="P120">
        <f t="shared" si="26"/>
        <v>0</v>
      </c>
      <c r="Q120">
        <f t="shared" si="27"/>
        <v>0</v>
      </c>
      <c r="R120">
        <f t="shared" si="28"/>
        <v>0</v>
      </c>
      <c r="S120">
        <f t="shared" si="29"/>
        <v>0</v>
      </c>
      <c r="T120">
        <f t="shared" si="30"/>
        <v>0</v>
      </c>
      <c r="U120">
        <f t="shared" si="31"/>
        <v>0</v>
      </c>
      <c r="V120">
        <f t="shared" si="32"/>
        <v>0</v>
      </c>
      <c r="W120">
        <f t="shared" si="33"/>
        <v>0</v>
      </c>
      <c r="X120">
        <f t="shared" si="34"/>
        <v>0</v>
      </c>
    </row>
    <row r="121" spans="8:24" x14ac:dyDescent="0.3">
      <c r="H121">
        <f t="shared" si="18"/>
        <v>0</v>
      </c>
      <c r="I121">
        <f t="shared" si="19"/>
        <v>0</v>
      </c>
      <c r="J121">
        <f t="shared" si="20"/>
        <v>0</v>
      </c>
      <c r="K121">
        <f t="shared" si="21"/>
        <v>0</v>
      </c>
      <c r="L121">
        <f t="shared" si="22"/>
        <v>0</v>
      </c>
      <c r="M121" t="str">
        <f t="shared" si="23"/>
        <v>DOWN</v>
      </c>
      <c r="N121">
        <f t="shared" si="24"/>
        <v>0</v>
      </c>
      <c r="O121">
        <f t="shared" si="25"/>
        <v>0</v>
      </c>
      <c r="P121">
        <f t="shared" si="26"/>
        <v>0</v>
      </c>
      <c r="Q121">
        <f t="shared" si="27"/>
        <v>0</v>
      </c>
      <c r="R121">
        <f t="shared" si="28"/>
        <v>0</v>
      </c>
      <c r="S121">
        <f t="shared" si="29"/>
        <v>0</v>
      </c>
      <c r="T121">
        <f t="shared" si="30"/>
        <v>0</v>
      </c>
      <c r="U121">
        <f t="shared" si="31"/>
        <v>0</v>
      </c>
      <c r="V121">
        <f t="shared" si="32"/>
        <v>0</v>
      </c>
      <c r="W121">
        <f t="shared" si="33"/>
        <v>0</v>
      </c>
      <c r="X121">
        <f t="shared" si="34"/>
        <v>0</v>
      </c>
    </row>
    <row r="122" spans="8:24" x14ac:dyDescent="0.3">
      <c r="H122">
        <f t="shared" si="18"/>
        <v>0</v>
      </c>
      <c r="I122">
        <f t="shared" si="19"/>
        <v>0</v>
      </c>
      <c r="J122">
        <f t="shared" si="20"/>
        <v>0</v>
      </c>
      <c r="K122">
        <f t="shared" si="21"/>
        <v>0</v>
      </c>
      <c r="L122">
        <f t="shared" si="22"/>
        <v>0</v>
      </c>
      <c r="M122" t="str">
        <f t="shared" si="23"/>
        <v>DOWN</v>
      </c>
      <c r="N122">
        <f t="shared" si="24"/>
        <v>0</v>
      </c>
      <c r="O122">
        <f t="shared" si="25"/>
        <v>0</v>
      </c>
      <c r="P122">
        <f t="shared" si="26"/>
        <v>0</v>
      </c>
      <c r="Q122">
        <f t="shared" si="27"/>
        <v>0</v>
      </c>
      <c r="R122">
        <f t="shared" si="28"/>
        <v>0</v>
      </c>
      <c r="S122">
        <f t="shared" si="29"/>
        <v>0</v>
      </c>
      <c r="T122">
        <f t="shared" si="30"/>
        <v>0</v>
      </c>
      <c r="U122">
        <f t="shared" si="31"/>
        <v>0</v>
      </c>
      <c r="V122">
        <f t="shared" si="32"/>
        <v>0</v>
      </c>
      <c r="W122">
        <f t="shared" si="33"/>
        <v>0</v>
      </c>
      <c r="X122">
        <f t="shared" si="34"/>
        <v>0</v>
      </c>
    </row>
    <row r="123" spans="8:24" x14ac:dyDescent="0.3">
      <c r="H123">
        <f t="shared" si="18"/>
        <v>0</v>
      </c>
      <c r="I123">
        <f t="shared" si="19"/>
        <v>0</v>
      </c>
      <c r="J123">
        <f t="shared" si="20"/>
        <v>0</v>
      </c>
      <c r="K123">
        <f t="shared" si="21"/>
        <v>0</v>
      </c>
      <c r="L123">
        <f t="shared" si="22"/>
        <v>0</v>
      </c>
      <c r="M123" t="str">
        <f t="shared" si="23"/>
        <v>DOWN</v>
      </c>
      <c r="N123">
        <f t="shared" si="24"/>
        <v>0</v>
      </c>
      <c r="O123">
        <f t="shared" si="25"/>
        <v>0</v>
      </c>
      <c r="P123">
        <f t="shared" si="26"/>
        <v>0</v>
      </c>
      <c r="Q123">
        <f t="shared" si="27"/>
        <v>0</v>
      </c>
      <c r="R123">
        <f t="shared" si="28"/>
        <v>0</v>
      </c>
      <c r="S123">
        <f t="shared" si="29"/>
        <v>0</v>
      </c>
      <c r="T123">
        <f t="shared" si="30"/>
        <v>0</v>
      </c>
      <c r="U123">
        <f t="shared" si="31"/>
        <v>0</v>
      </c>
      <c r="V123">
        <f t="shared" si="32"/>
        <v>0</v>
      </c>
      <c r="W123">
        <f t="shared" si="33"/>
        <v>0</v>
      </c>
      <c r="X123">
        <f t="shared" si="34"/>
        <v>0</v>
      </c>
    </row>
    <row r="124" spans="8:24" x14ac:dyDescent="0.3">
      <c r="H124">
        <f t="shared" si="18"/>
        <v>0</v>
      </c>
      <c r="I124">
        <f t="shared" si="19"/>
        <v>0</v>
      </c>
      <c r="J124">
        <f t="shared" si="20"/>
        <v>0</v>
      </c>
      <c r="K124">
        <f t="shared" si="21"/>
        <v>0</v>
      </c>
      <c r="L124">
        <f t="shared" si="22"/>
        <v>0</v>
      </c>
      <c r="M124" t="str">
        <f t="shared" si="23"/>
        <v>DOWN</v>
      </c>
      <c r="N124">
        <f t="shared" si="24"/>
        <v>0</v>
      </c>
      <c r="O124">
        <f t="shared" si="25"/>
        <v>0</v>
      </c>
      <c r="P124">
        <f t="shared" si="26"/>
        <v>0</v>
      </c>
      <c r="Q124">
        <f t="shared" si="27"/>
        <v>0</v>
      </c>
      <c r="R124">
        <f t="shared" si="28"/>
        <v>0</v>
      </c>
      <c r="S124">
        <f t="shared" si="29"/>
        <v>0</v>
      </c>
      <c r="T124">
        <f t="shared" si="30"/>
        <v>0</v>
      </c>
      <c r="U124">
        <f t="shared" si="31"/>
        <v>0</v>
      </c>
      <c r="V124">
        <f t="shared" si="32"/>
        <v>0</v>
      </c>
      <c r="W124">
        <f t="shared" si="33"/>
        <v>0</v>
      </c>
      <c r="X124">
        <f t="shared" si="34"/>
        <v>0</v>
      </c>
    </row>
    <row r="125" spans="8:24" x14ac:dyDescent="0.3">
      <c r="H125">
        <f t="shared" si="18"/>
        <v>0</v>
      </c>
      <c r="I125">
        <f t="shared" si="19"/>
        <v>0</v>
      </c>
      <c r="J125">
        <f t="shared" si="20"/>
        <v>0</v>
      </c>
      <c r="K125">
        <f t="shared" si="21"/>
        <v>0</v>
      </c>
      <c r="L125">
        <f t="shared" si="22"/>
        <v>0</v>
      </c>
      <c r="M125" t="str">
        <f t="shared" si="23"/>
        <v>DOWN</v>
      </c>
      <c r="N125">
        <f t="shared" si="24"/>
        <v>0</v>
      </c>
      <c r="O125">
        <f t="shared" si="25"/>
        <v>0</v>
      </c>
      <c r="P125">
        <f t="shared" si="26"/>
        <v>0</v>
      </c>
      <c r="Q125">
        <f t="shared" si="27"/>
        <v>0</v>
      </c>
      <c r="R125">
        <f t="shared" si="28"/>
        <v>0</v>
      </c>
      <c r="S125">
        <f t="shared" si="29"/>
        <v>0</v>
      </c>
      <c r="T125">
        <f t="shared" si="30"/>
        <v>0</v>
      </c>
      <c r="U125">
        <f t="shared" si="31"/>
        <v>0</v>
      </c>
      <c r="V125">
        <f t="shared" si="32"/>
        <v>0</v>
      </c>
      <c r="W125">
        <f t="shared" si="33"/>
        <v>0</v>
      </c>
      <c r="X125">
        <f t="shared" si="34"/>
        <v>0</v>
      </c>
    </row>
    <row r="126" spans="8:24" x14ac:dyDescent="0.3">
      <c r="H126">
        <f t="shared" si="18"/>
        <v>0</v>
      </c>
      <c r="I126">
        <f t="shared" si="19"/>
        <v>0</v>
      </c>
      <c r="J126">
        <f t="shared" si="20"/>
        <v>0</v>
      </c>
      <c r="K126">
        <f t="shared" si="21"/>
        <v>0</v>
      </c>
      <c r="L126">
        <f t="shared" si="22"/>
        <v>0</v>
      </c>
      <c r="M126" t="str">
        <f t="shared" si="23"/>
        <v>DOWN</v>
      </c>
      <c r="N126">
        <f t="shared" si="24"/>
        <v>0</v>
      </c>
      <c r="O126">
        <f t="shared" si="25"/>
        <v>0</v>
      </c>
      <c r="P126">
        <f t="shared" si="26"/>
        <v>0</v>
      </c>
      <c r="Q126">
        <f t="shared" si="27"/>
        <v>0</v>
      </c>
      <c r="R126">
        <f t="shared" si="28"/>
        <v>0</v>
      </c>
      <c r="S126">
        <f t="shared" si="29"/>
        <v>0</v>
      </c>
      <c r="T126">
        <f t="shared" si="30"/>
        <v>0</v>
      </c>
      <c r="U126">
        <f t="shared" si="31"/>
        <v>0</v>
      </c>
      <c r="V126">
        <f t="shared" si="32"/>
        <v>0</v>
      </c>
      <c r="W126">
        <f t="shared" si="33"/>
        <v>0</v>
      </c>
      <c r="X126">
        <f t="shared" si="34"/>
        <v>0</v>
      </c>
    </row>
    <row r="127" spans="8:24" x14ac:dyDescent="0.3">
      <c r="H127">
        <f t="shared" si="18"/>
        <v>0</v>
      </c>
      <c r="I127">
        <f t="shared" si="19"/>
        <v>0</v>
      </c>
      <c r="J127">
        <f t="shared" si="20"/>
        <v>0</v>
      </c>
      <c r="K127">
        <f t="shared" si="21"/>
        <v>0</v>
      </c>
      <c r="L127">
        <f t="shared" si="22"/>
        <v>0</v>
      </c>
      <c r="M127" t="str">
        <f t="shared" si="23"/>
        <v>DOWN</v>
      </c>
      <c r="N127">
        <f t="shared" si="24"/>
        <v>0</v>
      </c>
      <c r="O127">
        <f t="shared" si="25"/>
        <v>0</v>
      </c>
      <c r="P127">
        <f t="shared" si="26"/>
        <v>0</v>
      </c>
      <c r="Q127">
        <f t="shared" si="27"/>
        <v>0</v>
      </c>
      <c r="R127">
        <f t="shared" si="28"/>
        <v>0</v>
      </c>
      <c r="S127">
        <f t="shared" si="29"/>
        <v>0</v>
      </c>
      <c r="T127">
        <f t="shared" si="30"/>
        <v>0</v>
      </c>
      <c r="U127">
        <f t="shared" si="31"/>
        <v>0</v>
      </c>
      <c r="V127">
        <f t="shared" si="32"/>
        <v>0</v>
      </c>
      <c r="W127">
        <f t="shared" si="33"/>
        <v>0</v>
      </c>
      <c r="X127">
        <f t="shared" si="34"/>
        <v>0</v>
      </c>
    </row>
    <row r="128" spans="8:24" x14ac:dyDescent="0.3">
      <c r="H128">
        <f t="shared" si="18"/>
        <v>0</v>
      </c>
      <c r="I128">
        <f t="shared" si="19"/>
        <v>0</v>
      </c>
      <c r="J128">
        <f t="shared" si="20"/>
        <v>0</v>
      </c>
      <c r="K128">
        <f t="shared" si="21"/>
        <v>0</v>
      </c>
      <c r="L128">
        <f t="shared" si="22"/>
        <v>0</v>
      </c>
      <c r="M128" t="str">
        <f t="shared" si="23"/>
        <v>DOWN</v>
      </c>
      <c r="N128">
        <f t="shared" si="24"/>
        <v>0</v>
      </c>
      <c r="O128">
        <f t="shared" si="25"/>
        <v>0</v>
      </c>
      <c r="P128">
        <f t="shared" si="26"/>
        <v>0</v>
      </c>
      <c r="Q128">
        <f t="shared" si="27"/>
        <v>0</v>
      </c>
      <c r="R128">
        <f t="shared" si="28"/>
        <v>0</v>
      </c>
      <c r="S128">
        <f t="shared" si="29"/>
        <v>0</v>
      </c>
      <c r="T128">
        <f t="shared" si="30"/>
        <v>0</v>
      </c>
      <c r="U128">
        <f t="shared" si="31"/>
        <v>0</v>
      </c>
      <c r="V128">
        <f t="shared" si="32"/>
        <v>0</v>
      </c>
      <c r="W128">
        <f t="shared" si="33"/>
        <v>0</v>
      </c>
      <c r="X128">
        <f t="shared" si="34"/>
        <v>0</v>
      </c>
    </row>
    <row r="129" spans="8:24" x14ac:dyDescent="0.3">
      <c r="H129">
        <f t="shared" si="18"/>
        <v>0</v>
      </c>
      <c r="I129">
        <f t="shared" si="19"/>
        <v>0</v>
      </c>
      <c r="J129">
        <f t="shared" si="20"/>
        <v>0</v>
      </c>
      <c r="K129">
        <f t="shared" si="21"/>
        <v>0</v>
      </c>
      <c r="L129">
        <f t="shared" si="22"/>
        <v>0</v>
      </c>
      <c r="M129" t="str">
        <f t="shared" si="23"/>
        <v>DOWN</v>
      </c>
      <c r="N129">
        <f t="shared" si="24"/>
        <v>0</v>
      </c>
      <c r="O129">
        <f t="shared" si="25"/>
        <v>0</v>
      </c>
      <c r="P129">
        <f t="shared" si="26"/>
        <v>0</v>
      </c>
      <c r="Q129">
        <f t="shared" si="27"/>
        <v>0</v>
      </c>
      <c r="R129">
        <f t="shared" si="28"/>
        <v>0</v>
      </c>
      <c r="S129">
        <f t="shared" si="29"/>
        <v>0</v>
      </c>
      <c r="T129">
        <f t="shared" si="30"/>
        <v>0</v>
      </c>
      <c r="U129">
        <f t="shared" si="31"/>
        <v>0</v>
      </c>
      <c r="V129">
        <f t="shared" si="32"/>
        <v>0</v>
      </c>
      <c r="W129">
        <f t="shared" si="33"/>
        <v>0</v>
      </c>
      <c r="X129">
        <f t="shared" si="34"/>
        <v>0</v>
      </c>
    </row>
    <row r="130" spans="8:24" x14ac:dyDescent="0.3">
      <c r="H130">
        <f t="shared" ref="H130:H193" si="35">E131</f>
        <v>0</v>
      </c>
      <c r="I130">
        <f t="shared" ref="I130:I193" si="36">MAX(C130,H130)</f>
        <v>0</v>
      </c>
      <c r="J130">
        <f t="shared" ref="J130:J193" si="37">MIN(D130,H130)</f>
        <v>0</v>
      </c>
      <c r="K130">
        <f t="shared" ref="K130:K193" si="38">I130-J130</f>
        <v>0</v>
      </c>
      <c r="L130">
        <f t="shared" ref="L130:L193" si="39">B130-E131</f>
        <v>0</v>
      </c>
      <c r="M130" t="str">
        <f t="shared" ref="M130:M193" si="40">IF(E130&gt;E131,"UP","DOWN")</f>
        <v>DOWN</v>
      </c>
      <c r="N130">
        <f t="shared" ref="N130:N193" si="41">E130-E131</f>
        <v>0</v>
      </c>
      <c r="O130">
        <f t="shared" ref="O130:O193" si="42">SUM(N130:N134)</f>
        <v>0</v>
      </c>
      <c r="P130">
        <f t="shared" ref="P130:P193" si="43">SUM(N130:N139)</f>
        <v>0</v>
      </c>
      <c r="Q130">
        <f t="shared" ref="Q130:Q193" si="44">SUM(N130:N179)</f>
        <v>0</v>
      </c>
      <c r="R130">
        <f t="shared" ref="R130:R193" si="45">SUM(E130:E139)/10</f>
        <v>0</v>
      </c>
      <c r="S130">
        <f t="shared" ref="S130:S193" si="46">R130-R131</f>
        <v>0</v>
      </c>
      <c r="T130">
        <f t="shared" ref="T130:T193" si="47">SUM(E130:E179)/50</f>
        <v>0</v>
      </c>
      <c r="U130">
        <f t="shared" ref="U130:U193" si="48">T130-T131</f>
        <v>0</v>
      </c>
      <c r="V130">
        <f t="shared" ref="V130:V193" si="49">SUM(E130:E229)/100</f>
        <v>0</v>
      </c>
      <c r="W130">
        <f t="shared" ref="W130:W193" si="50">V130-V131</f>
        <v>0</v>
      </c>
      <c r="X130">
        <f t="shared" ref="X130:X193" si="51">SUM(E130:E329)/200</f>
        <v>0</v>
      </c>
    </row>
    <row r="131" spans="8:24" x14ac:dyDescent="0.3">
      <c r="H131">
        <f t="shared" si="35"/>
        <v>0</v>
      </c>
      <c r="I131">
        <f t="shared" si="36"/>
        <v>0</v>
      </c>
      <c r="J131">
        <f t="shared" si="37"/>
        <v>0</v>
      </c>
      <c r="K131">
        <f t="shared" si="38"/>
        <v>0</v>
      </c>
      <c r="L131">
        <f t="shared" si="39"/>
        <v>0</v>
      </c>
      <c r="M131" t="str">
        <f t="shared" si="40"/>
        <v>DOWN</v>
      </c>
      <c r="N131">
        <f t="shared" si="41"/>
        <v>0</v>
      </c>
      <c r="O131">
        <f t="shared" si="42"/>
        <v>0</v>
      </c>
      <c r="P131">
        <f t="shared" si="43"/>
        <v>0</v>
      </c>
      <c r="Q131">
        <f t="shared" si="44"/>
        <v>0</v>
      </c>
      <c r="R131">
        <f t="shared" si="45"/>
        <v>0</v>
      </c>
      <c r="S131">
        <f t="shared" si="46"/>
        <v>0</v>
      </c>
      <c r="T131">
        <f t="shared" si="47"/>
        <v>0</v>
      </c>
      <c r="U131">
        <f t="shared" si="48"/>
        <v>0</v>
      </c>
      <c r="V131">
        <f t="shared" si="49"/>
        <v>0</v>
      </c>
      <c r="W131">
        <f t="shared" si="50"/>
        <v>0</v>
      </c>
      <c r="X131">
        <f t="shared" si="51"/>
        <v>0</v>
      </c>
    </row>
    <row r="132" spans="8:24" x14ac:dyDescent="0.3">
      <c r="H132">
        <f t="shared" si="35"/>
        <v>0</v>
      </c>
      <c r="I132">
        <f t="shared" si="36"/>
        <v>0</v>
      </c>
      <c r="J132">
        <f t="shared" si="37"/>
        <v>0</v>
      </c>
      <c r="K132">
        <f t="shared" si="38"/>
        <v>0</v>
      </c>
      <c r="L132">
        <f t="shared" si="39"/>
        <v>0</v>
      </c>
      <c r="M132" t="str">
        <f t="shared" si="40"/>
        <v>DOWN</v>
      </c>
      <c r="N132">
        <f t="shared" si="41"/>
        <v>0</v>
      </c>
      <c r="O132">
        <f t="shared" si="42"/>
        <v>0</v>
      </c>
      <c r="P132">
        <f t="shared" si="43"/>
        <v>0</v>
      </c>
      <c r="Q132">
        <f t="shared" si="44"/>
        <v>0</v>
      </c>
      <c r="R132">
        <f t="shared" si="45"/>
        <v>0</v>
      </c>
      <c r="S132">
        <f t="shared" si="46"/>
        <v>0</v>
      </c>
      <c r="T132">
        <f t="shared" si="47"/>
        <v>0</v>
      </c>
      <c r="U132">
        <f t="shared" si="48"/>
        <v>0</v>
      </c>
      <c r="V132">
        <f t="shared" si="49"/>
        <v>0</v>
      </c>
      <c r="W132">
        <f t="shared" si="50"/>
        <v>0</v>
      </c>
      <c r="X132">
        <f t="shared" si="51"/>
        <v>0</v>
      </c>
    </row>
    <row r="133" spans="8:24" x14ac:dyDescent="0.3">
      <c r="H133">
        <f t="shared" si="35"/>
        <v>0</v>
      </c>
      <c r="I133">
        <f t="shared" si="36"/>
        <v>0</v>
      </c>
      <c r="J133">
        <f t="shared" si="37"/>
        <v>0</v>
      </c>
      <c r="K133">
        <f t="shared" si="38"/>
        <v>0</v>
      </c>
      <c r="L133">
        <f t="shared" si="39"/>
        <v>0</v>
      </c>
      <c r="M133" t="str">
        <f t="shared" si="40"/>
        <v>DOWN</v>
      </c>
      <c r="N133">
        <f t="shared" si="41"/>
        <v>0</v>
      </c>
      <c r="O133">
        <f t="shared" si="42"/>
        <v>0</v>
      </c>
      <c r="P133">
        <f t="shared" si="43"/>
        <v>0</v>
      </c>
      <c r="Q133">
        <f t="shared" si="44"/>
        <v>0</v>
      </c>
      <c r="R133">
        <f t="shared" si="45"/>
        <v>0</v>
      </c>
      <c r="S133">
        <f t="shared" si="46"/>
        <v>0</v>
      </c>
      <c r="T133">
        <f t="shared" si="47"/>
        <v>0</v>
      </c>
      <c r="U133">
        <f t="shared" si="48"/>
        <v>0</v>
      </c>
      <c r="V133">
        <f t="shared" si="49"/>
        <v>0</v>
      </c>
      <c r="W133">
        <f t="shared" si="50"/>
        <v>0</v>
      </c>
      <c r="X133">
        <f t="shared" si="51"/>
        <v>0</v>
      </c>
    </row>
    <row r="134" spans="8:24" x14ac:dyDescent="0.3">
      <c r="H134">
        <f t="shared" si="35"/>
        <v>0</v>
      </c>
      <c r="I134">
        <f t="shared" si="36"/>
        <v>0</v>
      </c>
      <c r="J134">
        <f t="shared" si="37"/>
        <v>0</v>
      </c>
      <c r="K134">
        <f t="shared" si="38"/>
        <v>0</v>
      </c>
      <c r="L134">
        <f t="shared" si="39"/>
        <v>0</v>
      </c>
      <c r="M134" t="str">
        <f t="shared" si="40"/>
        <v>DOWN</v>
      </c>
      <c r="N134">
        <f t="shared" si="41"/>
        <v>0</v>
      </c>
      <c r="O134">
        <f t="shared" si="42"/>
        <v>0</v>
      </c>
      <c r="P134">
        <f t="shared" si="43"/>
        <v>0</v>
      </c>
      <c r="Q134">
        <f t="shared" si="44"/>
        <v>0</v>
      </c>
      <c r="R134">
        <f t="shared" si="45"/>
        <v>0</v>
      </c>
      <c r="S134">
        <f t="shared" si="46"/>
        <v>0</v>
      </c>
      <c r="T134">
        <f t="shared" si="47"/>
        <v>0</v>
      </c>
      <c r="U134">
        <f t="shared" si="48"/>
        <v>0</v>
      </c>
      <c r="V134">
        <f t="shared" si="49"/>
        <v>0</v>
      </c>
      <c r="W134">
        <f t="shared" si="50"/>
        <v>0</v>
      </c>
      <c r="X134">
        <f t="shared" si="51"/>
        <v>0</v>
      </c>
    </row>
    <row r="135" spans="8:24" x14ac:dyDescent="0.3">
      <c r="H135">
        <f t="shared" si="35"/>
        <v>0</v>
      </c>
      <c r="I135">
        <f t="shared" si="36"/>
        <v>0</v>
      </c>
      <c r="J135">
        <f t="shared" si="37"/>
        <v>0</v>
      </c>
      <c r="K135">
        <f t="shared" si="38"/>
        <v>0</v>
      </c>
      <c r="L135">
        <f t="shared" si="39"/>
        <v>0</v>
      </c>
      <c r="M135" t="str">
        <f t="shared" si="40"/>
        <v>DOWN</v>
      </c>
      <c r="N135">
        <f t="shared" si="41"/>
        <v>0</v>
      </c>
      <c r="O135">
        <f t="shared" si="42"/>
        <v>0</v>
      </c>
      <c r="P135">
        <f t="shared" si="43"/>
        <v>0</v>
      </c>
      <c r="Q135">
        <f t="shared" si="44"/>
        <v>0</v>
      </c>
      <c r="R135">
        <f t="shared" si="45"/>
        <v>0</v>
      </c>
      <c r="S135">
        <f t="shared" si="46"/>
        <v>0</v>
      </c>
      <c r="T135">
        <f t="shared" si="47"/>
        <v>0</v>
      </c>
      <c r="U135">
        <f t="shared" si="48"/>
        <v>0</v>
      </c>
      <c r="V135">
        <f t="shared" si="49"/>
        <v>0</v>
      </c>
      <c r="W135">
        <f t="shared" si="50"/>
        <v>0</v>
      </c>
      <c r="X135">
        <f t="shared" si="51"/>
        <v>0</v>
      </c>
    </row>
    <row r="136" spans="8:24" x14ac:dyDescent="0.3">
      <c r="H136">
        <f t="shared" si="35"/>
        <v>0</v>
      </c>
      <c r="I136">
        <f t="shared" si="36"/>
        <v>0</v>
      </c>
      <c r="J136">
        <f t="shared" si="37"/>
        <v>0</v>
      </c>
      <c r="K136">
        <f t="shared" si="38"/>
        <v>0</v>
      </c>
      <c r="L136">
        <f t="shared" si="39"/>
        <v>0</v>
      </c>
      <c r="M136" t="str">
        <f t="shared" si="40"/>
        <v>DOWN</v>
      </c>
      <c r="N136">
        <f t="shared" si="41"/>
        <v>0</v>
      </c>
      <c r="O136">
        <f t="shared" si="42"/>
        <v>0</v>
      </c>
      <c r="P136">
        <f t="shared" si="43"/>
        <v>0</v>
      </c>
      <c r="Q136">
        <f t="shared" si="44"/>
        <v>0</v>
      </c>
      <c r="R136">
        <f t="shared" si="45"/>
        <v>0</v>
      </c>
      <c r="S136">
        <f t="shared" si="46"/>
        <v>0</v>
      </c>
      <c r="T136">
        <f t="shared" si="47"/>
        <v>0</v>
      </c>
      <c r="U136">
        <f t="shared" si="48"/>
        <v>0</v>
      </c>
      <c r="V136">
        <f t="shared" si="49"/>
        <v>0</v>
      </c>
      <c r="W136">
        <f t="shared" si="50"/>
        <v>0</v>
      </c>
      <c r="X136">
        <f t="shared" si="51"/>
        <v>0</v>
      </c>
    </row>
    <row r="137" spans="8:24" x14ac:dyDescent="0.3">
      <c r="H137">
        <f t="shared" si="35"/>
        <v>0</v>
      </c>
      <c r="I137">
        <f t="shared" si="36"/>
        <v>0</v>
      </c>
      <c r="J137">
        <f t="shared" si="37"/>
        <v>0</v>
      </c>
      <c r="K137">
        <f t="shared" si="38"/>
        <v>0</v>
      </c>
      <c r="L137">
        <f t="shared" si="39"/>
        <v>0</v>
      </c>
      <c r="M137" t="str">
        <f t="shared" si="40"/>
        <v>DOWN</v>
      </c>
      <c r="N137">
        <f t="shared" si="41"/>
        <v>0</v>
      </c>
      <c r="O137">
        <f t="shared" si="42"/>
        <v>0</v>
      </c>
      <c r="P137">
        <f t="shared" si="43"/>
        <v>0</v>
      </c>
      <c r="Q137">
        <f t="shared" si="44"/>
        <v>0</v>
      </c>
      <c r="R137">
        <f t="shared" si="45"/>
        <v>0</v>
      </c>
      <c r="S137">
        <f t="shared" si="46"/>
        <v>0</v>
      </c>
      <c r="T137">
        <f t="shared" si="47"/>
        <v>0</v>
      </c>
      <c r="U137">
        <f t="shared" si="48"/>
        <v>0</v>
      </c>
      <c r="V137">
        <f t="shared" si="49"/>
        <v>0</v>
      </c>
      <c r="W137">
        <f t="shared" si="50"/>
        <v>0</v>
      </c>
      <c r="X137">
        <f t="shared" si="51"/>
        <v>0</v>
      </c>
    </row>
    <row r="138" spans="8:24" x14ac:dyDescent="0.3">
      <c r="H138">
        <f t="shared" si="35"/>
        <v>0</v>
      </c>
      <c r="I138">
        <f t="shared" si="36"/>
        <v>0</v>
      </c>
      <c r="J138">
        <f t="shared" si="37"/>
        <v>0</v>
      </c>
      <c r="K138">
        <f t="shared" si="38"/>
        <v>0</v>
      </c>
      <c r="L138">
        <f t="shared" si="39"/>
        <v>0</v>
      </c>
      <c r="M138" t="str">
        <f t="shared" si="40"/>
        <v>DOWN</v>
      </c>
      <c r="N138">
        <f t="shared" si="41"/>
        <v>0</v>
      </c>
      <c r="O138">
        <f t="shared" si="42"/>
        <v>0</v>
      </c>
      <c r="P138">
        <f t="shared" si="43"/>
        <v>0</v>
      </c>
      <c r="Q138">
        <f t="shared" si="44"/>
        <v>0</v>
      </c>
      <c r="R138">
        <f t="shared" si="45"/>
        <v>0</v>
      </c>
      <c r="S138">
        <f t="shared" si="46"/>
        <v>0</v>
      </c>
      <c r="T138">
        <f t="shared" si="47"/>
        <v>0</v>
      </c>
      <c r="U138">
        <f t="shared" si="48"/>
        <v>0</v>
      </c>
      <c r="V138">
        <f t="shared" si="49"/>
        <v>0</v>
      </c>
      <c r="W138">
        <f t="shared" si="50"/>
        <v>0</v>
      </c>
      <c r="X138">
        <f t="shared" si="51"/>
        <v>0</v>
      </c>
    </row>
    <row r="139" spans="8:24" x14ac:dyDescent="0.3">
      <c r="H139">
        <f t="shared" si="35"/>
        <v>0</v>
      </c>
      <c r="I139">
        <f t="shared" si="36"/>
        <v>0</v>
      </c>
      <c r="J139">
        <f t="shared" si="37"/>
        <v>0</v>
      </c>
      <c r="K139">
        <f t="shared" si="38"/>
        <v>0</v>
      </c>
      <c r="L139">
        <f t="shared" si="39"/>
        <v>0</v>
      </c>
      <c r="M139" t="str">
        <f t="shared" si="40"/>
        <v>DOWN</v>
      </c>
      <c r="N139">
        <f t="shared" si="41"/>
        <v>0</v>
      </c>
      <c r="O139">
        <f t="shared" si="42"/>
        <v>0</v>
      </c>
      <c r="P139">
        <f t="shared" si="43"/>
        <v>0</v>
      </c>
      <c r="Q139">
        <f t="shared" si="44"/>
        <v>0</v>
      </c>
      <c r="R139">
        <f t="shared" si="45"/>
        <v>0</v>
      </c>
      <c r="S139">
        <f t="shared" si="46"/>
        <v>0</v>
      </c>
      <c r="T139">
        <f t="shared" si="47"/>
        <v>0</v>
      </c>
      <c r="U139">
        <f t="shared" si="48"/>
        <v>0</v>
      </c>
      <c r="V139">
        <f t="shared" si="49"/>
        <v>0</v>
      </c>
      <c r="W139">
        <f t="shared" si="50"/>
        <v>0</v>
      </c>
      <c r="X139">
        <f t="shared" si="51"/>
        <v>0</v>
      </c>
    </row>
    <row r="140" spans="8:24" x14ac:dyDescent="0.3">
      <c r="H140">
        <f t="shared" si="35"/>
        <v>0</v>
      </c>
      <c r="I140">
        <f t="shared" si="36"/>
        <v>0</v>
      </c>
      <c r="J140">
        <f t="shared" si="37"/>
        <v>0</v>
      </c>
      <c r="K140">
        <f t="shared" si="38"/>
        <v>0</v>
      </c>
      <c r="L140">
        <f t="shared" si="39"/>
        <v>0</v>
      </c>
      <c r="M140" t="str">
        <f t="shared" si="40"/>
        <v>DOWN</v>
      </c>
      <c r="N140">
        <f t="shared" si="41"/>
        <v>0</v>
      </c>
      <c r="O140">
        <f t="shared" si="42"/>
        <v>0</v>
      </c>
      <c r="P140">
        <f t="shared" si="43"/>
        <v>0</v>
      </c>
      <c r="Q140">
        <f t="shared" si="44"/>
        <v>0</v>
      </c>
      <c r="R140">
        <f t="shared" si="45"/>
        <v>0</v>
      </c>
      <c r="S140">
        <f t="shared" si="46"/>
        <v>0</v>
      </c>
      <c r="T140">
        <f t="shared" si="47"/>
        <v>0</v>
      </c>
      <c r="U140">
        <f t="shared" si="48"/>
        <v>0</v>
      </c>
      <c r="V140">
        <f t="shared" si="49"/>
        <v>0</v>
      </c>
      <c r="W140">
        <f t="shared" si="50"/>
        <v>0</v>
      </c>
      <c r="X140">
        <f t="shared" si="51"/>
        <v>0</v>
      </c>
    </row>
    <row r="141" spans="8:24" x14ac:dyDescent="0.3">
      <c r="H141">
        <f t="shared" si="35"/>
        <v>0</v>
      </c>
      <c r="I141">
        <f t="shared" si="36"/>
        <v>0</v>
      </c>
      <c r="J141">
        <f t="shared" si="37"/>
        <v>0</v>
      </c>
      <c r="K141">
        <f t="shared" si="38"/>
        <v>0</v>
      </c>
      <c r="L141">
        <f t="shared" si="39"/>
        <v>0</v>
      </c>
      <c r="M141" t="str">
        <f t="shared" si="40"/>
        <v>DOWN</v>
      </c>
      <c r="N141">
        <f t="shared" si="41"/>
        <v>0</v>
      </c>
      <c r="O141">
        <f t="shared" si="42"/>
        <v>0</v>
      </c>
      <c r="P141">
        <f t="shared" si="43"/>
        <v>0</v>
      </c>
      <c r="Q141">
        <f t="shared" si="44"/>
        <v>0</v>
      </c>
      <c r="R141">
        <f t="shared" si="45"/>
        <v>0</v>
      </c>
      <c r="S141">
        <f t="shared" si="46"/>
        <v>0</v>
      </c>
      <c r="T141">
        <f t="shared" si="47"/>
        <v>0</v>
      </c>
      <c r="U141">
        <f t="shared" si="48"/>
        <v>0</v>
      </c>
      <c r="V141">
        <f t="shared" si="49"/>
        <v>0</v>
      </c>
      <c r="W141">
        <f t="shared" si="50"/>
        <v>0</v>
      </c>
      <c r="X141">
        <f t="shared" si="51"/>
        <v>0</v>
      </c>
    </row>
    <row r="142" spans="8:24" x14ac:dyDescent="0.3">
      <c r="H142">
        <f t="shared" si="35"/>
        <v>0</v>
      </c>
      <c r="I142">
        <f t="shared" si="36"/>
        <v>0</v>
      </c>
      <c r="J142">
        <f t="shared" si="37"/>
        <v>0</v>
      </c>
      <c r="K142">
        <f t="shared" si="38"/>
        <v>0</v>
      </c>
      <c r="L142">
        <f t="shared" si="39"/>
        <v>0</v>
      </c>
      <c r="M142" t="str">
        <f t="shared" si="40"/>
        <v>DOWN</v>
      </c>
      <c r="N142">
        <f t="shared" si="41"/>
        <v>0</v>
      </c>
      <c r="O142">
        <f t="shared" si="42"/>
        <v>0</v>
      </c>
      <c r="P142">
        <f t="shared" si="43"/>
        <v>0</v>
      </c>
      <c r="Q142">
        <f t="shared" si="44"/>
        <v>0</v>
      </c>
      <c r="R142">
        <f t="shared" si="45"/>
        <v>0</v>
      </c>
      <c r="S142">
        <f t="shared" si="46"/>
        <v>0</v>
      </c>
      <c r="T142">
        <f t="shared" si="47"/>
        <v>0</v>
      </c>
      <c r="U142">
        <f t="shared" si="48"/>
        <v>0</v>
      </c>
      <c r="V142">
        <f t="shared" si="49"/>
        <v>0</v>
      </c>
      <c r="W142">
        <f t="shared" si="50"/>
        <v>0</v>
      </c>
      <c r="X142">
        <f t="shared" si="51"/>
        <v>0</v>
      </c>
    </row>
    <row r="143" spans="8:24" x14ac:dyDescent="0.3">
      <c r="H143">
        <f t="shared" si="35"/>
        <v>0</v>
      </c>
      <c r="I143">
        <f t="shared" si="36"/>
        <v>0</v>
      </c>
      <c r="J143">
        <f t="shared" si="37"/>
        <v>0</v>
      </c>
      <c r="K143">
        <f t="shared" si="38"/>
        <v>0</v>
      </c>
      <c r="L143">
        <f t="shared" si="39"/>
        <v>0</v>
      </c>
      <c r="M143" t="str">
        <f t="shared" si="40"/>
        <v>DOWN</v>
      </c>
      <c r="N143">
        <f t="shared" si="41"/>
        <v>0</v>
      </c>
      <c r="O143">
        <f t="shared" si="42"/>
        <v>0</v>
      </c>
      <c r="P143">
        <f t="shared" si="43"/>
        <v>0</v>
      </c>
      <c r="Q143">
        <f t="shared" si="44"/>
        <v>0</v>
      </c>
      <c r="R143">
        <f t="shared" si="45"/>
        <v>0</v>
      </c>
      <c r="S143">
        <f t="shared" si="46"/>
        <v>0</v>
      </c>
      <c r="T143">
        <f t="shared" si="47"/>
        <v>0</v>
      </c>
      <c r="U143">
        <f t="shared" si="48"/>
        <v>0</v>
      </c>
      <c r="V143">
        <f t="shared" si="49"/>
        <v>0</v>
      </c>
      <c r="W143">
        <f t="shared" si="50"/>
        <v>0</v>
      </c>
      <c r="X143">
        <f t="shared" si="51"/>
        <v>0</v>
      </c>
    </row>
    <row r="144" spans="8:24" x14ac:dyDescent="0.3">
      <c r="H144">
        <f t="shared" si="35"/>
        <v>0</v>
      </c>
      <c r="I144">
        <f t="shared" si="36"/>
        <v>0</v>
      </c>
      <c r="J144">
        <f t="shared" si="37"/>
        <v>0</v>
      </c>
      <c r="K144">
        <f t="shared" si="38"/>
        <v>0</v>
      </c>
      <c r="L144">
        <f t="shared" si="39"/>
        <v>0</v>
      </c>
      <c r="M144" t="str">
        <f t="shared" si="40"/>
        <v>DOWN</v>
      </c>
      <c r="N144">
        <f t="shared" si="41"/>
        <v>0</v>
      </c>
      <c r="O144">
        <f t="shared" si="42"/>
        <v>0</v>
      </c>
      <c r="P144">
        <f t="shared" si="43"/>
        <v>0</v>
      </c>
      <c r="Q144">
        <f t="shared" si="44"/>
        <v>0</v>
      </c>
      <c r="R144">
        <f t="shared" si="45"/>
        <v>0</v>
      </c>
      <c r="S144">
        <f t="shared" si="46"/>
        <v>0</v>
      </c>
      <c r="T144">
        <f t="shared" si="47"/>
        <v>0</v>
      </c>
      <c r="U144">
        <f t="shared" si="48"/>
        <v>0</v>
      </c>
      <c r="V144">
        <f t="shared" si="49"/>
        <v>0</v>
      </c>
      <c r="W144">
        <f t="shared" si="50"/>
        <v>0</v>
      </c>
      <c r="X144">
        <f t="shared" si="51"/>
        <v>0</v>
      </c>
    </row>
    <row r="145" spans="8:24" x14ac:dyDescent="0.3">
      <c r="H145">
        <f t="shared" si="35"/>
        <v>0</v>
      </c>
      <c r="I145">
        <f t="shared" si="36"/>
        <v>0</v>
      </c>
      <c r="J145">
        <f t="shared" si="37"/>
        <v>0</v>
      </c>
      <c r="K145">
        <f t="shared" si="38"/>
        <v>0</v>
      </c>
      <c r="L145">
        <f t="shared" si="39"/>
        <v>0</v>
      </c>
      <c r="M145" t="str">
        <f t="shared" si="40"/>
        <v>DOWN</v>
      </c>
      <c r="N145">
        <f t="shared" si="41"/>
        <v>0</v>
      </c>
      <c r="O145">
        <f t="shared" si="42"/>
        <v>0</v>
      </c>
      <c r="P145">
        <f t="shared" si="43"/>
        <v>0</v>
      </c>
      <c r="Q145">
        <f t="shared" si="44"/>
        <v>0</v>
      </c>
      <c r="R145">
        <f t="shared" si="45"/>
        <v>0</v>
      </c>
      <c r="S145">
        <f t="shared" si="46"/>
        <v>0</v>
      </c>
      <c r="T145">
        <f t="shared" si="47"/>
        <v>0</v>
      </c>
      <c r="U145">
        <f t="shared" si="48"/>
        <v>0</v>
      </c>
      <c r="V145">
        <f t="shared" si="49"/>
        <v>0</v>
      </c>
      <c r="W145">
        <f t="shared" si="50"/>
        <v>0</v>
      </c>
      <c r="X145">
        <f t="shared" si="51"/>
        <v>0</v>
      </c>
    </row>
    <row r="146" spans="8:24" x14ac:dyDescent="0.3">
      <c r="H146">
        <f t="shared" si="35"/>
        <v>0</v>
      </c>
      <c r="I146">
        <f t="shared" si="36"/>
        <v>0</v>
      </c>
      <c r="J146">
        <f t="shared" si="37"/>
        <v>0</v>
      </c>
      <c r="K146">
        <f t="shared" si="38"/>
        <v>0</v>
      </c>
      <c r="L146">
        <f t="shared" si="39"/>
        <v>0</v>
      </c>
      <c r="M146" t="str">
        <f t="shared" si="40"/>
        <v>DOWN</v>
      </c>
      <c r="N146">
        <f t="shared" si="41"/>
        <v>0</v>
      </c>
      <c r="O146">
        <f t="shared" si="42"/>
        <v>0</v>
      </c>
      <c r="P146">
        <f t="shared" si="43"/>
        <v>0</v>
      </c>
      <c r="Q146">
        <f t="shared" si="44"/>
        <v>0</v>
      </c>
      <c r="R146">
        <f t="shared" si="45"/>
        <v>0</v>
      </c>
      <c r="S146">
        <f t="shared" si="46"/>
        <v>0</v>
      </c>
      <c r="T146">
        <f t="shared" si="47"/>
        <v>0</v>
      </c>
      <c r="U146">
        <f t="shared" si="48"/>
        <v>0</v>
      </c>
      <c r="V146">
        <f t="shared" si="49"/>
        <v>0</v>
      </c>
      <c r="W146">
        <f t="shared" si="50"/>
        <v>0</v>
      </c>
      <c r="X146">
        <f t="shared" si="51"/>
        <v>0</v>
      </c>
    </row>
    <row r="147" spans="8:24" x14ac:dyDescent="0.3">
      <c r="H147">
        <f t="shared" si="35"/>
        <v>0</v>
      </c>
      <c r="I147">
        <f t="shared" si="36"/>
        <v>0</v>
      </c>
      <c r="J147">
        <f t="shared" si="37"/>
        <v>0</v>
      </c>
      <c r="K147">
        <f t="shared" si="38"/>
        <v>0</v>
      </c>
      <c r="L147">
        <f t="shared" si="39"/>
        <v>0</v>
      </c>
      <c r="M147" t="str">
        <f t="shared" si="40"/>
        <v>DOWN</v>
      </c>
      <c r="N147">
        <f t="shared" si="41"/>
        <v>0</v>
      </c>
      <c r="O147">
        <f t="shared" si="42"/>
        <v>0</v>
      </c>
      <c r="P147">
        <f t="shared" si="43"/>
        <v>0</v>
      </c>
      <c r="Q147">
        <f t="shared" si="44"/>
        <v>0</v>
      </c>
      <c r="R147">
        <f t="shared" si="45"/>
        <v>0</v>
      </c>
      <c r="S147">
        <f t="shared" si="46"/>
        <v>0</v>
      </c>
      <c r="T147">
        <f t="shared" si="47"/>
        <v>0</v>
      </c>
      <c r="U147">
        <f t="shared" si="48"/>
        <v>0</v>
      </c>
      <c r="V147">
        <f t="shared" si="49"/>
        <v>0</v>
      </c>
      <c r="W147">
        <f t="shared" si="50"/>
        <v>0</v>
      </c>
      <c r="X147">
        <f t="shared" si="51"/>
        <v>0</v>
      </c>
    </row>
    <row r="148" spans="8:24" x14ac:dyDescent="0.3">
      <c r="H148">
        <f t="shared" si="35"/>
        <v>0</v>
      </c>
      <c r="I148">
        <f t="shared" si="36"/>
        <v>0</v>
      </c>
      <c r="J148">
        <f t="shared" si="37"/>
        <v>0</v>
      </c>
      <c r="K148">
        <f t="shared" si="38"/>
        <v>0</v>
      </c>
      <c r="L148">
        <f t="shared" si="39"/>
        <v>0</v>
      </c>
      <c r="M148" t="str">
        <f t="shared" si="40"/>
        <v>DOWN</v>
      </c>
      <c r="N148">
        <f t="shared" si="41"/>
        <v>0</v>
      </c>
      <c r="O148">
        <f t="shared" si="42"/>
        <v>0</v>
      </c>
      <c r="P148">
        <f t="shared" si="43"/>
        <v>0</v>
      </c>
      <c r="Q148">
        <f t="shared" si="44"/>
        <v>0</v>
      </c>
      <c r="R148">
        <f t="shared" si="45"/>
        <v>0</v>
      </c>
      <c r="S148">
        <f t="shared" si="46"/>
        <v>0</v>
      </c>
      <c r="T148">
        <f t="shared" si="47"/>
        <v>0</v>
      </c>
      <c r="U148">
        <f t="shared" si="48"/>
        <v>0</v>
      </c>
      <c r="V148">
        <f t="shared" si="49"/>
        <v>0</v>
      </c>
      <c r="W148">
        <f t="shared" si="50"/>
        <v>0</v>
      </c>
      <c r="X148">
        <f t="shared" si="51"/>
        <v>0</v>
      </c>
    </row>
    <row r="149" spans="8:24" x14ac:dyDescent="0.3">
      <c r="H149">
        <f t="shared" si="35"/>
        <v>0</v>
      </c>
      <c r="I149">
        <f t="shared" si="36"/>
        <v>0</v>
      </c>
      <c r="J149">
        <f t="shared" si="37"/>
        <v>0</v>
      </c>
      <c r="K149">
        <f t="shared" si="38"/>
        <v>0</v>
      </c>
      <c r="L149">
        <f t="shared" si="39"/>
        <v>0</v>
      </c>
      <c r="M149" t="str">
        <f t="shared" si="40"/>
        <v>DOWN</v>
      </c>
      <c r="N149">
        <f t="shared" si="41"/>
        <v>0</v>
      </c>
      <c r="O149">
        <f t="shared" si="42"/>
        <v>0</v>
      </c>
      <c r="P149">
        <f t="shared" si="43"/>
        <v>0</v>
      </c>
      <c r="Q149">
        <f t="shared" si="44"/>
        <v>0</v>
      </c>
      <c r="R149">
        <f t="shared" si="45"/>
        <v>0</v>
      </c>
      <c r="S149">
        <f t="shared" si="46"/>
        <v>0</v>
      </c>
      <c r="T149">
        <f t="shared" si="47"/>
        <v>0</v>
      </c>
      <c r="U149">
        <f t="shared" si="48"/>
        <v>0</v>
      </c>
      <c r="V149">
        <f t="shared" si="49"/>
        <v>0</v>
      </c>
      <c r="W149">
        <f t="shared" si="50"/>
        <v>0</v>
      </c>
      <c r="X149">
        <f t="shared" si="51"/>
        <v>0</v>
      </c>
    </row>
    <row r="150" spans="8:24" x14ac:dyDescent="0.3">
      <c r="H150">
        <f t="shared" si="35"/>
        <v>0</v>
      </c>
      <c r="I150">
        <f t="shared" si="36"/>
        <v>0</v>
      </c>
      <c r="J150">
        <f t="shared" si="37"/>
        <v>0</v>
      </c>
      <c r="K150">
        <f t="shared" si="38"/>
        <v>0</v>
      </c>
      <c r="L150">
        <f t="shared" si="39"/>
        <v>0</v>
      </c>
      <c r="M150" t="str">
        <f t="shared" si="40"/>
        <v>DOWN</v>
      </c>
      <c r="N150">
        <f t="shared" si="41"/>
        <v>0</v>
      </c>
      <c r="O150">
        <f t="shared" si="42"/>
        <v>0</v>
      </c>
      <c r="P150">
        <f t="shared" si="43"/>
        <v>0</v>
      </c>
      <c r="Q150">
        <f t="shared" si="44"/>
        <v>0</v>
      </c>
      <c r="R150">
        <f t="shared" si="45"/>
        <v>0</v>
      </c>
      <c r="S150">
        <f t="shared" si="46"/>
        <v>0</v>
      </c>
      <c r="T150">
        <f t="shared" si="47"/>
        <v>0</v>
      </c>
      <c r="U150">
        <f t="shared" si="48"/>
        <v>0</v>
      </c>
      <c r="V150">
        <f t="shared" si="49"/>
        <v>0</v>
      </c>
      <c r="W150">
        <f t="shared" si="50"/>
        <v>0</v>
      </c>
      <c r="X150">
        <f t="shared" si="51"/>
        <v>0</v>
      </c>
    </row>
    <row r="151" spans="8:24" x14ac:dyDescent="0.3">
      <c r="H151">
        <f t="shared" si="35"/>
        <v>0</v>
      </c>
      <c r="I151">
        <f t="shared" si="36"/>
        <v>0</v>
      </c>
      <c r="J151">
        <f t="shared" si="37"/>
        <v>0</v>
      </c>
      <c r="K151">
        <f t="shared" si="38"/>
        <v>0</v>
      </c>
      <c r="L151">
        <f t="shared" si="39"/>
        <v>0</v>
      </c>
      <c r="M151" t="str">
        <f t="shared" si="40"/>
        <v>DOWN</v>
      </c>
      <c r="N151">
        <f t="shared" si="41"/>
        <v>0</v>
      </c>
      <c r="O151">
        <f t="shared" si="42"/>
        <v>0</v>
      </c>
      <c r="P151">
        <f t="shared" si="43"/>
        <v>0</v>
      </c>
      <c r="Q151">
        <f t="shared" si="44"/>
        <v>0</v>
      </c>
      <c r="R151">
        <f t="shared" si="45"/>
        <v>0</v>
      </c>
      <c r="S151">
        <f t="shared" si="46"/>
        <v>0</v>
      </c>
      <c r="T151">
        <f t="shared" si="47"/>
        <v>0</v>
      </c>
      <c r="U151">
        <f t="shared" si="48"/>
        <v>0</v>
      </c>
      <c r="V151">
        <f t="shared" si="49"/>
        <v>0</v>
      </c>
      <c r="W151">
        <f t="shared" si="50"/>
        <v>0</v>
      </c>
      <c r="X151">
        <f t="shared" si="51"/>
        <v>0</v>
      </c>
    </row>
    <row r="152" spans="8:24" x14ac:dyDescent="0.3">
      <c r="H152">
        <f t="shared" si="35"/>
        <v>0</v>
      </c>
      <c r="I152">
        <f t="shared" si="36"/>
        <v>0</v>
      </c>
      <c r="J152">
        <f t="shared" si="37"/>
        <v>0</v>
      </c>
      <c r="K152">
        <f t="shared" si="38"/>
        <v>0</v>
      </c>
      <c r="L152">
        <f t="shared" si="39"/>
        <v>0</v>
      </c>
      <c r="M152" t="str">
        <f t="shared" si="40"/>
        <v>DOWN</v>
      </c>
      <c r="N152">
        <f t="shared" si="41"/>
        <v>0</v>
      </c>
      <c r="O152">
        <f t="shared" si="42"/>
        <v>0</v>
      </c>
      <c r="P152">
        <f t="shared" si="43"/>
        <v>0</v>
      </c>
      <c r="Q152">
        <f t="shared" si="44"/>
        <v>0</v>
      </c>
      <c r="R152">
        <f t="shared" si="45"/>
        <v>0</v>
      </c>
      <c r="S152">
        <f t="shared" si="46"/>
        <v>0</v>
      </c>
      <c r="T152">
        <f t="shared" si="47"/>
        <v>0</v>
      </c>
      <c r="U152">
        <f t="shared" si="48"/>
        <v>0</v>
      </c>
      <c r="V152">
        <f t="shared" si="49"/>
        <v>0</v>
      </c>
      <c r="W152">
        <f t="shared" si="50"/>
        <v>0</v>
      </c>
      <c r="X152">
        <f t="shared" si="51"/>
        <v>0</v>
      </c>
    </row>
    <row r="153" spans="8:24" x14ac:dyDescent="0.3">
      <c r="H153">
        <f t="shared" si="35"/>
        <v>0</v>
      </c>
      <c r="I153">
        <f t="shared" si="36"/>
        <v>0</v>
      </c>
      <c r="J153">
        <f t="shared" si="37"/>
        <v>0</v>
      </c>
      <c r="K153">
        <f t="shared" si="38"/>
        <v>0</v>
      </c>
      <c r="L153">
        <f t="shared" si="39"/>
        <v>0</v>
      </c>
      <c r="M153" t="str">
        <f t="shared" si="40"/>
        <v>DOWN</v>
      </c>
      <c r="N153">
        <f t="shared" si="41"/>
        <v>0</v>
      </c>
      <c r="O153">
        <f t="shared" si="42"/>
        <v>0</v>
      </c>
      <c r="P153">
        <f t="shared" si="43"/>
        <v>0</v>
      </c>
      <c r="Q153">
        <f t="shared" si="44"/>
        <v>0</v>
      </c>
      <c r="R153">
        <f t="shared" si="45"/>
        <v>0</v>
      </c>
      <c r="S153">
        <f t="shared" si="46"/>
        <v>0</v>
      </c>
      <c r="T153">
        <f t="shared" si="47"/>
        <v>0</v>
      </c>
      <c r="U153">
        <f t="shared" si="48"/>
        <v>0</v>
      </c>
      <c r="V153">
        <f t="shared" si="49"/>
        <v>0</v>
      </c>
      <c r="W153">
        <f t="shared" si="50"/>
        <v>0</v>
      </c>
      <c r="X153">
        <f t="shared" si="51"/>
        <v>0</v>
      </c>
    </row>
    <row r="154" spans="8:24" x14ac:dyDescent="0.3">
      <c r="H154">
        <f t="shared" si="35"/>
        <v>0</v>
      </c>
      <c r="I154">
        <f t="shared" si="36"/>
        <v>0</v>
      </c>
      <c r="J154">
        <f t="shared" si="37"/>
        <v>0</v>
      </c>
      <c r="K154">
        <f t="shared" si="38"/>
        <v>0</v>
      </c>
      <c r="L154">
        <f t="shared" si="39"/>
        <v>0</v>
      </c>
      <c r="M154" t="str">
        <f t="shared" si="40"/>
        <v>DOWN</v>
      </c>
      <c r="N154">
        <f t="shared" si="41"/>
        <v>0</v>
      </c>
      <c r="O154">
        <f t="shared" si="42"/>
        <v>0</v>
      </c>
      <c r="P154">
        <f t="shared" si="43"/>
        <v>0</v>
      </c>
      <c r="Q154">
        <f t="shared" si="44"/>
        <v>0</v>
      </c>
      <c r="R154">
        <f t="shared" si="45"/>
        <v>0</v>
      </c>
      <c r="S154">
        <f t="shared" si="46"/>
        <v>0</v>
      </c>
      <c r="T154">
        <f t="shared" si="47"/>
        <v>0</v>
      </c>
      <c r="U154">
        <f t="shared" si="48"/>
        <v>0</v>
      </c>
      <c r="V154">
        <f t="shared" si="49"/>
        <v>0</v>
      </c>
      <c r="W154">
        <f t="shared" si="50"/>
        <v>0</v>
      </c>
      <c r="X154">
        <f t="shared" si="51"/>
        <v>0</v>
      </c>
    </row>
    <row r="155" spans="8:24" x14ac:dyDescent="0.3">
      <c r="H155">
        <f t="shared" si="35"/>
        <v>0</v>
      </c>
      <c r="I155">
        <f t="shared" si="36"/>
        <v>0</v>
      </c>
      <c r="J155">
        <f t="shared" si="37"/>
        <v>0</v>
      </c>
      <c r="K155">
        <f t="shared" si="38"/>
        <v>0</v>
      </c>
      <c r="L155">
        <f t="shared" si="39"/>
        <v>0</v>
      </c>
      <c r="M155" t="str">
        <f t="shared" si="40"/>
        <v>DOWN</v>
      </c>
      <c r="N155">
        <f t="shared" si="41"/>
        <v>0</v>
      </c>
      <c r="O155">
        <f t="shared" si="42"/>
        <v>0</v>
      </c>
      <c r="P155">
        <f t="shared" si="43"/>
        <v>0</v>
      </c>
      <c r="Q155">
        <f t="shared" si="44"/>
        <v>0</v>
      </c>
      <c r="R155">
        <f t="shared" si="45"/>
        <v>0</v>
      </c>
      <c r="S155">
        <f t="shared" si="46"/>
        <v>0</v>
      </c>
      <c r="T155">
        <f t="shared" si="47"/>
        <v>0</v>
      </c>
      <c r="U155">
        <f t="shared" si="48"/>
        <v>0</v>
      </c>
      <c r="V155">
        <f t="shared" si="49"/>
        <v>0</v>
      </c>
      <c r="W155">
        <f t="shared" si="50"/>
        <v>0</v>
      </c>
      <c r="X155">
        <f t="shared" si="51"/>
        <v>0</v>
      </c>
    </row>
    <row r="156" spans="8:24" x14ac:dyDescent="0.3">
      <c r="H156">
        <f t="shared" si="35"/>
        <v>0</v>
      </c>
      <c r="I156">
        <f t="shared" si="36"/>
        <v>0</v>
      </c>
      <c r="J156">
        <f t="shared" si="37"/>
        <v>0</v>
      </c>
      <c r="K156">
        <f t="shared" si="38"/>
        <v>0</v>
      </c>
      <c r="L156">
        <f t="shared" si="39"/>
        <v>0</v>
      </c>
      <c r="M156" t="str">
        <f t="shared" si="40"/>
        <v>DOWN</v>
      </c>
      <c r="N156">
        <f t="shared" si="41"/>
        <v>0</v>
      </c>
      <c r="O156">
        <f t="shared" si="42"/>
        <v>0</v>
      </c>
      <c r="P156">
        <f t="shared" si="43"/>
        <v>0</v>
      </c>
      <c r="Q156">
        <f t="shared" si="44"/>
        <v>0</v>
      </c>
      <c r="R156">
        <f t="shared" si="45"/>
        <v>0</v>
      </c>
      <c r="S156">
        <f t="shared" si="46"/>
        <v>0</v>
      </c>
      <c r="T156">
        <f t="shared" si="47"/>
        <v>0</v>
      </c>
      <c r="U156">
        <f t="shared" si="48"/>
        <v>0</v>
      </c>
      <c r="V156">
        <f t="shared" si="49"/>
        <v>0</v>
      </c>
      <c r="W156">
        <f t="shared" si="50"/>
        <v>0</v>
      </c>
      <c r="X156">
        <f t="shared" si="51"/>
        <v>0</v>
      </c>
    </row>
    <row r="157" spans="8:24" x14ac:dyDescent="0.3">
      <c r="H157">
        <f t="shared" si="35"/>
        <v>0</v>
      </c>
      <c r="I157">
        <f t="shared" si="36"/>
        <v>0</v>
      </c>
      <c r="J157">
        <f t="shared" si="37"/>
        <v>0</v>
      </c>
      <c r="K157">
        <f t="shared" si="38"/>
        <v>0</v>
      </c>
      <c r="L157">
        <f t="shared" si="39"/>
        <v>0</v>
      </c>
      <c r="M157" t="str">
        <f t="shared" si="40"/>
        <v>DOWN</v>
      </c>
      <c r="N157">
        <f t="shared" si="41"/>
        <v>0</v>
      </c>
      <c r="O157">
        <f t="shared" si="42"/>
        <v>0</v>
      </c>
      <c r="P157">
        <f t="shared" si="43"/>
        <v>0</v>
      </c>
      <c r="Q157">
        <f t="shared" si="44"/>
        <v>0</v>
      </c>
      <c r="R157">
        <f t="shared" si="45"/>
        <v>0</v>
      </c>
      <c r="S157">
        <f t="shared" si="46"/>
        <v>0</v>
      </c>
      <c r="T157">
        <f t="shared" si="47"/>
        <v>0</v>
      </c>
      <c r="U157">
        <f t="shared" si="48"/>
        <v>0</v>
      </c>
      <c r="V157">
        <f t="shared" si="49"/>
        <v>0</v>
      </c>
      <c r="W157">
        <f t="shared" si="50"/>
        <v>0</v>
      </c>
      <c r="X157">
        <f t="shared" si="51"/>
        <v>0</v>
      </c>
    </row>
    <row r="158" spans="8:24" x14ac:dyDescent="0.3">
      <c r="H158">
        <f t="shared" si="35"/>
        <v>0</v>
      </c>
      <c r="I158">
        <f t="shared" si="36"/>
        <v>0</v>
      </c>
      <c r="J158">
        <f t="shared" si="37"/>
        <v>0</v>
      </c>
      <c r="K158">
        <f t="shared" si="38"/>
        <v>0</v>
      </c>
      <c r="L158">
        <f t="shared" si="39"/>
        <v>0</v>
      </c>
      <c r="M158" t="str">
        <f t="shared" si="40"/>
        <v>DOWN</v>
      </c>
      <c r="N158">
        <f t="shared" si="41"/>
        <v>0</v>
      </c>
      <c r="O158">
        <f t="shared" si="42"/>
        <v>0</v>
      </c>
      <c r="P158">
        <f t="shared" si="43"/>
        <v>0</v>
      </c>
      <c r="Q158">
        <f t="shared" si="44"/>
        <v>0</v>
      </c>
      <c r="R158">
        <f t="shared" si="45"/>
        <v>0</v>
      </c>
      <c r="S158">
        <f t="shared" si="46"/>
        <v>0</v>
      </c>
      <c r="T158">
        <f t="shared" si="47"/>
        <v>0</v>
      </c>
      <c r="U158">
        <f t="shared" si="48"/>
        <v>0</v>
      </c>
      <c r="V158">
        <f t="shared" si="49"/>
        <v>0</v>
      </c>
      <c r="W158">
        <f t="shared" si="50"/>
        <v>0</v>
      </c>
      <c r="X158">
        <f t="shared" si="51"/>
        <v>0</v>
      </c>
    </row>
    <row r="159" spans="8:24" x14ac:dyDescent="0.3">
      <c r="H159">
        <f t="shared" si="35"/>
        <v>0</v>
      </c>
      <c r="I159">
        <f t="shared" si="36"/>
        <v>0</v>
      </c>
      <c r="J159">
        <f t="shared" si="37"/>
        <v>0</v>
      </c>
      <c r="K159">
        <f t="shared" si="38"/>
        <v>0</v>
      </c>
      <c r="L159">
        <f t="shared" si="39"/>
        <v>0</v>
      </c>
      <c r="M159" t="str">
        <f t="shared" si="40"/>
        <v>DOWN</v>
      </c>
      <c r="N159">
        <f t="shared" si="41"/>
        <v>0</v>
      </c>
      <c r="O159">
        <f t="shared" si="42"/>
        <v>0</v>
      </c>
      <c r="P159">
        <f t="shared" si="43"/>
        <v>0</v>
      </c>
      <c r="Q159">
        <f t="shared" si="44"/>
        <v>0</v>
      </c>
      <c r="R159">
        <f t="shared" si="45"/>
        <v>0</v>
      </c>
      <c r="S159">
        <f t="shared" si="46"/>
        <v>0</v>
      </c>
      <c r="T159">
        <f t="shared" si="47"/>
        <v>0</v>
      </c>
      <c r="U159">
        <f t="shared" si="48"/>
        <v>0</v>
      </c>
      <c r="V159">
        <f t="shared" si="49"/>
        <v>0</v>
      </c>
      <c r="W159">
        <f t="shared" si="50"/>
        <v>0</v>
      </c>
      <c r="X159">
        <f t="shared" si="51"/>
        <v>0</v>
      </c>
    </row>
    <row r="160" spans="8:24" x14ac:dyDescent="0.3">
      <c r="H160">
        <f t="shared" si="35"/>
        <v>0</v>
      </c>
      <c r="I160">
        <f t="shared" si="36"/>
        <v>0</v>
      </c>
      <c r="J160">
        <f t="shared" si="37"/>
        <v>0</v>
      </c>
      <c r="K160">
        <f t="shared" si="38"/>
        <v>0</v>
      </c>
      <c r="L160">
        <f t="shared" si="39"/>
        <v>0</v>
      </c>
      <c r="M160" t="str">
        <f t="shared" si="40"/>
        <v>DOWN</v>
      </c>
      <c r="N160">
        <f t="shared" si="41"/>
        <v>0</v>
      </c>
      <c r="O160">
        <f t="shared" si="42"/>
        <v>0</v>
      </c>
      <c r="P160">
        <f t="shared" si="43"/>
        <v>0</v>
      </c>
      <c r="Q160">
        <f t="shared" si="44"/>
        <v>0</v>
      </c>
      <c r="R160">
        <f t="shared" si="45"/>
        <v>0</v>
      </c>
      <c r="S160">
        <f t="shared" si="46"/>
        <v>0</v>
      </c>
      <c r="T160">
        <f t="shared" si="47"/>
        <v>0</v>
      </c>
      <c r="U160">
        <f t="shared" si="48"/>
        <v>0</v>
      </c>
      <c r="V160">
        <f t="shared" si="49"/>
        <v>0</v>
      </c>
      <c r="W160">
        <f t="shared" si="50"/>
        <v>0</v>
      </c>
      <c r="X160">
        <f t="shared" si="51"/>
        <v>0</v>
      </c>
    </row>
    <row r="161" spans="8:24" x14ac:dyDescent="0.3">
      <c r="H161">
        <f t="shared" si="35"/>
        <v>0</v>
      </c>
      <c r="I161">
        <f t="shared" si="36"/>
        <v>0</v>
      </c>
      <c r="J161">
        <f t="shared" si="37"/>
        <v>0</v>
      </c>
      <c r="K161">
        <f t="shared" si="38"/>
        <v>0</v>
      </c>
      <c r="L161">
        <f t="shared" si="39"/>
        <v>0</v>
      </c>
      <c r="M161" t="str">
        <f t="shared" si="40"/>
        <v>DOWN</v>
      </c>
      <c r="N161">
        <f t="shared" si="41"/>
        <v>0</v>
      </c>
      <c r="O161">
        <f t="shared" si="42"/>
        <v>0</v>
      </c>
      <c r="P161">
        <f t="shared" si="43"/>
        <v>0</v>
      </c>
      <c r="Q161">
        <f t="shared" si="44"/>
        <v>0</v>
      </c>
      <c r="R161">
        <f t="shared" si="45"/>
        <v>0</v>
      </c>
      <c r="S161">
        <f t="shared" si="46"/>
        <v>0</v>
      </c>
      <c r="T161">
        <f t="shared" si="47"/>
        <v>0</v>
      </c>
      <c r="U161">
        <f t="shared" si="48"/>
        <v>0</v>
      </c>
      <c r="V161">
        <f t="shared" si="49"/>
        <v>0</v>
      </c>
      <c r="W161">
        <f t="shared" si="50"/>
        <v>0</v>
      </c>
      <c r="X161">
        <f t="shared" si="51"/>
        <v>0</v>
      </c>
    </row>
    <row r="162" spans="8:24" x14ac:dyDescent="0.3">
      <c r="H162">
        <f t="shared" si="35"/>
        <v>0</v>
      </c>
      <c r="I162">
        <f t="shared" si="36"/>
        <v>0</v>
      </c>
      <c r="J162">
        <f t="shared" si="37"/>
        <v>0</v>
      </c>
      <c r="K162">
        <f t="shared" si="38"/>
        <v>0</v>
      </c>
      <c r="L162">
        <f t="shared" si="39"/>
        <v>0</v>
      </c>
      <c r="M162" t="str">
        <f t="shared" si="40"/>
        <v>DOWN</v>
      </c>
      <c r="N162">
        <f t="shared" si="41"/>
        <v>0</v>
      </c>
      <c r="O162">
        <f t="shared" si="42"/>
        <v>0</v>
      </c>
      <c r="P162">
        <f t="shared" si="43"/>
        <v>0</v>
      </c>
      <c r="Q162">
        <f t="shared" si="44"/>
        <v>0</v>
      </c>
      <c r="R162">
        <f t="shared" si="45"/>
        <v>0</v>
      </c>
      <c r="S162">
        <f t="shared" si="46"/>
        <v>0</v>
      </c>
      <c r="T162">
        <f t="shared" si="47"/>
        <v>0</v>
      </c>
      <c r="U162">
        <f t="shared" si="48"/>
        <v>0</v>
      </c>
      <c r="V162">
        <f t="shared" si="49"/>
        <v>0</v>
      </c>
      <c r="W162">
        <f t="shared" si="50"/>
        <v>0</v>
      </c>
      <c r="X162">
        <f t="shared" si="51"/>
        <v>0</v>
      </c>
    </row>
    <row r="163" spans="8:24" x14ac:dyDescent="0.3">
      <c r="H163">
        <f t="shared" si="35"/>
        <v>0</v>
      </c>
      <c r="I163">
        <f t="shared" si="36"/>
        <v>0</v>
      </c>
      <c r="J163">
        <f t="shared" si="37"/>
        <v>0</v>
      </c>
      <c r="K163">
        <f t="shared" si="38"/>
        <v>0</v>
      </c>
      <c r="L163">
        <f t="shared" si="39"/>
        <v>0</v>
      </c>
      <c r="M163" t="str">
        <f t="shared" si="40"/>
        <v>DOWN</v>
      </c>
      <c r="N163">
        <f t="shared" si="41"/>
        <v>0</v>
      </c>
      <c r="O163">
        <f t="shared" si="42"/>
        <v>0</v>
      </c>
      <c r="P163">
        <f t="shared" si="43"/>
        <v>0</v>
      </c>
      <c r="Q163">
        <f t="shared" si="44"/>
        <v>0</v>
      </c>
      <c r="R163">
        <f t="shared" si="45"/>
        <v>0</v>
      </c>
      <c r="S163">
        <f t="shared" si="46"/>
        <v>0</v>
      </c>
      <c r="T163">
        <f t="shared" si="47"/>
        <v>0</v>
      </c>
      <c r="U163">
        <f t="shared" si="48"/>
        <v>0</v>
      </c>
      <c r="V163">
        <f t="shared" si="49"/>
        <v>0</v>
      </c>
      <c r="W163">
        <f t="shared" si="50"/>
        <v>0</v>
      </c>
      <c r="X163">
        <f t="shared" si="51"/>
        <v>0</v>
      </c>
    </row>
    <row r="164" spans="8:24" x14ac:dyDescent="0.3">
      <c r="H164">
        <f t="shared" si="35"/>
        <v>0</v>
      </c>
      <c r="I164">
        <f t="shared" si="36"/>
        <v>0</v>
      </c>
      <c r="J164">
        <f t="shared" si="37"/>
        <v>0</v>
      </c>
      <c r="K164">
        <f t="shared" si="38"/>
        <v>0</v>
      </c>
      <c r="L164">
        <f t="shared" si="39"/>
        <v>0</v>
      </c>
      <c r="M164" t="str">
        <f t="shared" si="40"/>
        <v>DOWN</v>
      </c>
      <c r="N164">
        <f t="shared" si="41"/>
        <v>0</v>
      </c>
      <c r="O164">
        <f t="shared" si="42"/>
        <v>0</v>
      </c>
      <c r="P164">
        <f t="shared" si="43"/>
        <v>0</v>
      </c>
      <c r="Q164">
        <f t="shared" si="44"/>
        <v>0</v>
      </c>
      <c r="R164">
        <f t="shared" si="45"/>
        <v>0</v>
      </c>
      <c r="S164">
        <f t="shared" si="46"/>
        <v>0</v>
      </c>
      <c r="T164">
        <f t="shared" si="47"/>
        <v>0</v>
      </c>
      <c r="U164">
        <f t="shared" si="48"/>
        <v>0</v>
      </c>
      <c r="V164">
        <f t="shared" si="49"/>
        <v>0</v>
      </c>
      <c r="W164">
        <f t="shared" si="50"/>
        <v>0</v>
      </c>
      <c r="X164">
        <f t="shared" si="51"/>
        <v>0</v>
      </c>
    </row>
    <row r="165" spans="8:24" x14ac:dyDescent="0.3">
      <c r="H165">
        <f t="shared" si="35"/>
        <v>0</v>
      </c>
      <c r="I165">
        <f t="shared" si="36"/>
        <v>0</v>
      </c>
      <c r="J165">
        <f t="shared" si="37"/>
        <v>0</v>
      </c>
      <c r="K165">
        <f t="shared" si="38"/>
        <v>0</v>
      </c>
      <c r="L165">
        <f t="shared" si="39"/>
        <v>0</v>
      </c>
      <c r="M165" t="str">
        <f t="shared" si="40"/>
        <v>DOWN</v>
      </c>
      <c r="N165">
        <f t="shared" si="41"/>
        <v>0</v>
      </c>
      <c r="O165">
        <f t="shared" si="42"/>
        <v>0</v>
      </c>
      <c r="P165">
        <f t="shared" si="43"/>
        <v>0</v>
      </c>
      <c r="Q165">
        <f t="shared" si="44"/>
        <v>0</v>
      </c>
      <c r="R165">
        <f t="shared" si="45"/>
        <v>0</v>
      </c>
      <c r="S165">
        <f t="shared" si="46"/>
        <v>0</v>
      </c>
      <c r="T165">
        <f t="shared" si="47"/>
        <v>0</v>
      </c>
      <c r="U165">
        <f t="shared" si="48"/>
        <v>0</v>
      </c>
      <c r="V165">
        <f t="shared" si="49"/>
        <v>0</v>
      </c>
      <c r="W165">
        <f t="shared" si="50"/>
        <v>0</v>
      </c>
      <c r="X165">
        <f t="shared" si="51"/>
        <v>0</v>
      </c>
    </row>
    <row r="166" spans="8:24" x14ac:dyDescent="0.3">
      <c r="H166">
        <f t="shared" si="35"/>
        <v>0</v>
      </c>
      <c r="I166">
        <f t="shared" si="36"/>
        <v>0</v>
      </c>
      <c r="J166">
        <f t="shared" si="37"/>
        <v>0</v>
      </c>
      <c r="K166">
        <f t="shared" si="38"/>
        <v>0</v>
      </c>
      <c r="L166">
        <f t="shared" si="39"/>
        <v>0</v>
      </c>
      <c r="M166" t="str">
        <f t="shared" si="40"/>
        <v>DOWN</v>
      </c>
      <c r="N166">
        <f t="shared" si="41"/>
        <v>0</v>
      </c>
      <c r="O166">
        <f t="shared" si="42"/>
        <v>0</v>
      </c>
      <c r="P166">
        <f t="shared" si="43"/>
        <v>0</v>
      </c>
      <c r="Q166">
        <f t="shared" si="44"/>
        <v>0</v>
      </c>
      <c r="R166">
        <f t="shared" si="45"/>
        <v>0</v>
      </c>
      <c r="S166">
        <f t="shared" si="46"/>
        <v>0</v>
      </c>
      <c r="T166">
        <f t="shared" si="47"/>
        <v>0</v>
      </c>
      <c r="U166">
        <f t="shared" si="48"/>
        <v>0</v>
      </c>
      <c r="V166">
        <f t="shared" si="49"/>
        <v>0</v>
      </c>
      <c r="W166">
        <f t="shared" si="50"/>
        <v>0</v>
      </c>
      <c r="X166">
        <f t="shared" si="51"/>
        <v>0</v>
      </c>
    </row>
    <row r="167" spans="8:24" x14ac:dyDescent="0.3">
      <c r="H167">
        <f t="shared" si="35"/>
        <v>0</v>
      </c>
      <c r="I167">
        <f t="shared" si="36"/>
        <v>0</v>
      </c>
      <c r="J167">
        <f t="shared" si="37"/>
        <v>0</v>
      </c>
      <c r="K167">
        <f t="shared" si="38"/>
        <v>0</v>
      </c>
      <c r="L167">
        <f t="shared" si="39"/>
        <v>0</v>
      </c>
      <c r="M167" t="str">
        <f t="shared" si="40"/>
        <v>DOWN</v>
      </c>
      <c r="N167">
        <f t="shared" si="41"/>
        <v>0</v>
      </c>
      <c r="O167">
        <f t="shared" si="42"/>
        <v>0</v>
      </c>
      <c r="P167">
        <f t="shared" si="43"/>
        <v>0</v>
      </c>
      <c r="Q167">
        <f t="shared" si="44"/>
        <v>0</v>
      </c>
      <c r="R167">
        <f t="shared" si="45"/>
        <v>0</v>
      </c>
      <c r="S167">
        <f t="shared" si="46"/>
        <v>0</v>
      </c>
      <c r="T167">
        <f t="shared" si="47"/>
        <v>0</v>
      </c>
      <c r="U167">
        <f t="shared" si="48"/>
        <v>0</v>
      </c>
      <c r="V167">
        <f t="shared" si="49"/>
        <v>0</v>
      </c>
      <c r="W167">
        <f t="shared" si="50"/>
        <v>0</v>
      </c>
      <c r="X167">
        <f t="shared" si="51"/>
        <v>0</v>
      </c>
    </row>
    <row r="168" spans="8:24" x14ac:dyDescent="0.3">
      <c r="H168">
        <f t="shared" si="35"/>
        <v>0</v>
      </c>
      <c r="I168">
        <f t="shared" si="36"/>
        <v>0</v>
      </c>
      <c r="J168">
        <f t="shared" si="37"/>
        <v>0</v>
      </c>
      <c r="K168">
        <f t="shared" si="38"/>
        <v>0</v>
      </c>
      <c r="L168">
        <f t="shared" si="39"/>
        <v>0</v>
      </c>
      <c r="M168" t="str">
        <f t="shared" si="40"/>
        <v>DOWN</v>
      </c>
      <c r="N168">
        <f t="shared" si="41"/>
        <v>0</v>
      </c>
      <c r="O168">
        <f t="shared" si="42"/>
        <v>0</v>
      </c>
      <c r="P168">
        <f t="shared" si="43"/>
        <v>0</v>
      </c>
      <c r="Q168">
        <f t="shared" si="44"/>
        <v>0</v>
      </c>
      <c r="R168">
        <f t="shared" si="45"/>
        <v>0</v>
      </c>
      <c r="S168">
        <f t="shared" si="46"/>
        <v>0</v>
      </c>
      <c r="T168">
        <f t="shared" si="47"/>
        <v>0</v>
      </c>
      <c r="U168">
        <f t="shared" si="48"/>
        <v>0</v>
      </c>
      <c r="V168">
        <f t="shared" si="49"/>
        <v>0</v>
      </c>
      <c r="W168">
        <f t="shared" si="50"/>
        <v>0</v>
      </c>
      <c r="X168">
        <f t="shared" si="51"/>
        <v>0</v>
      </c>
    </row>
    <row r="169" spans="8:24" x14ac:dyDescent="0.3">
      <c r="H169">
        <f t="shared" si="35"/>
        <v>0</v>
      </c>
      <c r="I169">
        <f t="shared" si="36"/>
        <v>0</v>
      </c>
      <c r="J169">
        <f t="shared" si="37"/>
        <v>0</v>
      </c>
      <c r="K169">
        <f t="shared" si="38"/>
        <v>0</v>
      </c>
      <c r="L169">
        <f t="shared" si="39"/>
        <v>0</v>
      </c>
      <c r="M169" t="str">
        <f t="shared" si="40"/>
        <v>DOWN</v>
      </c>
      <c r="N169">
        <f t="shared" si="41"/>
        <v>0</v>
      </c>
      <c r="O169">
        <f t="shared" si="42"/>
        <v>0</v>
      </c>
      <c r="P169">
        <f t="shared" si="43"/>
        <v>0</v>
      </c>
      <c r="Q169">
        <f t="shared" si="44"/>
        <v>0</v>
      </c>
      <c r="R169">
        <f t="shared" si="45"/>
        <v>0</v>
      </c>
      <c r="S169">
        <f t="shared" si="46"/>
        <v>0</v>
      </c>
      <c r="T169">
        <f t="shared" si="47"/>
        <v>0</v>
      </c>
      <c r="U169">
        <f t="shared" si="48"/>
        <v>0</v>
      </c>
      <c r="V169">
        <f t="shared" si="49"/>
        <v>0</v>
      </c>
      <c r="W169">
        <f t="shared" si="50"/>
        <v>0</v>
      </c>
      <c r="X169">
        <f t="shared" si="51"/>
        <v>0</v>
      </c>
    </row>
    <row r="170" spans="8:24" x14ac:dyDescent="0.3">
      <c r="H170">
        <f t="shared" si="35"/>
        <v>0</v>
      </c>
      <c r="I170">
        <f t="shared" si="36"/>
        <v>0</v>
      </c>
      <c r="J170">
        <f t="shared" si="37"/>
        <v>0</v>
      </c>
      <c r="K170">
        <f t="shared" si="38"/>
        <v>0</v>
      </c>
      <c r="L170">
        <f t="shared" si="39"/>
        <v>0</v>
      </c>
      <c r="M170" t="str">
        <f t="shared" si="40"/>
        <v>DOWN</v>
      </c>
      <c r="N170">
        <f t="shared" si="41"/>
        <v>0</v>
      </c>
      <c r="O170">
        <f t="shared" si="42"/>
        <v>0</v>
      </c>
      <c r="P170">
        <f t="shared" si="43"/>
        <v>0</v>
      </c>
      <c r="Q170">
        <f t="shared" si="44"/>
        <v>0</v>
      </c>
      <c r="R170">
        <f t="shared" si="45"/>
        <v>0</v>
      </c>
      <c r="S170">
        <f t="shared" si="46"/>
        <v>0</v>
      </c>
      <c r="T170">
        <f t="shared" si="47"/>
        <v>0</v>
      </c>
      <c r="U170">
        <f t="shared" si="48"/>
        <v>0</v>
      </c>
      <c r="V170">
        <f t="shared" si="49"/>
        <v>0</v>
      </c>
      <c r="W170">
        <f t="shared" si="50"/>
        <v>0</v>
      </c>
      <c r="X170">
        <f t="shared" si="51"/>
        <v>0</v>
      </c>
    </row>
    <row r="171" spans="8:24" x14ac:dyDescent="0.3">
      <c r="H171">
        <f t="shared" si="35"/>
        <v>0</v>
      </c>
      <c r="I171">
        <f t="shared" si="36"/>
        <v>0</v>
      </c>
      <c r="J171">
        <f t="shared" si="37"/>
        <v>0</v>
      </c>
      <c r="K171">
        <f t="shared" si="38"/>
        <v>0</v>
      </c>
      <c r="L171">
        <f t="shared" si="39"/>
        <v>0</v>
      </c>
      <c r="M171" t="str">
        <f t="shared" si="40"/>
        <v>DOWN</v>
      </c>
      <c r="N171">
        <f t="shared" si="41"/>
        <v>0</v>
      </c>
      <c r="O171">
        <f t="shared" si="42"/>
        <v>0</v>
      </c>
      <c r="P171">
        <f t="shared" si="43"/>
        <v>0</v>
      </c>
      <c r="Q171">
        <f t="shared" si="44"/>
        <v>0</v>
      </c>
      <c r="R171">
        <f t="shared" si="45"/>
        <v>0</v>
      </c>
      <c r="S171">
        <f t="shared" si="46"/>
        <v>0</v>
      </c>
      <c r="T171">
        <f t="shared" si="47"/>
        <v>0</v>
      </c>
      <c r="U171">
        <f t="shared" si="48"/>
        <v>0</v>
      </c>
      <c r="V171">
        <f t="shared" si="49"/>
        <v>0</v>
      </c>
      <c r="W171">
        <f t="shared" si="50"/>
        <v>0</v>
      </c>
      <c r="X171">
        <f t="shared" si="51"/>
        <v>0</v>
      </c>
    </row>
    <row r="172" spans="8:24" x14ac:dyDescent="0.3">
      <c r="H172">
        <f t="shared" si="35"/>
        <v>0</v>
      </c>
      <c r="I172">
        <f t="shared" si="36"/>
        <v>0</v>
      </c>
      <c r="J172">
        <f t="shared" si="37"/>
        <v>0</v>
      </c>
      <c r="K172">
        <f t="shared" si="38"/>
        <v>0</v>
      </c>
      <c r="L172">
        <f t="shared" si="39"/>
        <v>0</v>
      </c>
      <c r="M172" t="str">
        <f t="shared" si="40"/>
        <v>DOWN</v>
      </c>
      <c r="N172">
        <f t="shared" si="41"/>
        <v>0</v>
      </c>
      <c r="O172">
        <f t="shared" si="42"/>
        <v>0</v>
      </c>
      <c r="P172">
        <f t="shared" si="43"/>
        <v>0</v>
      </c>
      <c r="Q172">
        <f t="shared" si="44"/>
        <v>0</v>
      </c>
      <c r="R172">
        <f t="shared" si="45"/>
        <v>0</v>
      </c>
      <c r="S172">
        <f t="shared" si="46"/>
        <v>0</v>
      </c>
      <c r="T172">
        <f t="shared" si="47"/>
        <v>0</v>
      </c>
      <c r="U172">
        <f t="shared" si="48"/>
        <v>0</v>
      </c>
      <c r="V172">
        <f t="shared" si="49"/>
        <v>0</v>
      </c>
      <c r="W172">
        <f t="shared" si="50"/>
        <v>0</v>
      </c>
      <c r="X172">
        <f t="shared" si="51"/>
        <v>0</v>
      </c>
    </row>
    <row r="173" spans="8:24" x14ac:dyDescent="0.3">
      <c r="H173">
        <f t="shared" si="35"/>
        <v>0</v>
      </c>
      <c r="I173">
        <f t="shared" si="36"/>
        <v>0</v>
      </c>
      <c r="J173">
        <f t="shared" si="37"/>
        <v>0</v>
      </c>
      <c r="K173">
        <f t="shared" si="38"/>
        <v>0</v>
      </c>
      <c r="L173">
        <f t="shared" si="39"/>
        <v>0</v>
      </c>
      <c r="M173" t="str">
        <f t="shared" si="40"/>
        <v>DOWN</v>
      </c>
      <c r="N173">
        <f t="shared" si="41"/>
        <v>0</v>
      </c>
      <c r="O173">
        <f t="shared" si="42"/>
        <v>0</v>
      </c>
      <c r="P173">
        <f t="shared" si="43"/>
        <v>0</v>
      </c>
      <c r="Q173">
        <f t="shared" si="44"/>
        <v>0</v>
      </c>
      <c r="R173">
        <f t="shared" si="45"/>
        <v>0</v>
      </c>
      <c r="S173">
        <f t="shared" si="46"/>
        <v>0</v>
      </c>
      <c r="T173">
        <f t="shared" si="47"/>
        <v>0</v>
      </c>
      <c r="U173">
        <f t="shared" si="48"/>
        <v>0</v>
      </c>
      <c r="V173">
        <f t="shared" si="49"/>
        <v>0</v>
      </c>
      <c r="W173">
        <f t="shared" si="50"/>
        <v>0</v>
      </c>
      <c r="X173">
        <f t="shared" si="51"/>
        <v>0</v>
      </c>
    </row>
    <row r="174" spans="8:24" x14ac:dyDescent="0.3">
      <c r="H174">
        <f t="shared" si="35"/>
        <v>0</v>
      </c>
      <c r="I174">
        <f t="shared" si="36"/>
        <v>0</v>
      </c>
      <c r="J174">
        <f t="shared" si="37"/>
        <v>0</v>
      </c>
      <c r="K174">
        <f t="shared" si="38"/>
        <v>0</v>
      </c>
      <c r="L174">
        <f t="shared" si="39"/>
        <v>0</v>
      </c>
      <c r="M174" t="str">
        <f t="shared" si="40"/>
        <v>DOWN</v>
      </c>
      <c r="N174">
        <f t="shared" si="41"/>
        <v>0</v>
      </c>
      <c r="O174">
        <f t="shared" si="42"/>
        <v>0</v>
      </c>
      <c r="P174">
        <f t="shared" si="43"/>
        <v>0</v>
      </c>
      <c r="Q174">
        <f t="shared" si="44"/>
        <v>0</v>
      </c>
      <c r="R174">
        <f t="shared" si="45"/>
        <v>0</v>
      </c>
      <c r="S174">
        <f t="shared" si="46"/>
        <v>0</v>
      </c>
      <c r="T174">
        <f t="shared" si="47"/>
        <v>0</v>
      </c>
      <c r="U174">
        <f t="shared" si="48"/>
        <v>0</v>
      </c>
      <c r="V174">
        <f t="shared" si="49"/>
        <v>0</v>
      </c>
      <c r="W174">
        <f t="shared" si="50"/>
        <v>0</v>
      </c>
      <c r="X174">
        <f t="shared" si="51"/>
        <v>0</v>
      </c>
    </row>
    <row r="175" spans="8:24" x14ac:dyDescent="0.3">
      <c r="H175">
        <f t="shared" si="35"/>
        <v>0</v>
      </c>
      <c r="I175">
        <f t="shared" si="36"/>
        <v>0</v>
      </c>
      <c r="J175">
        <f t="shared" si="37"/>
        <v>0</v>
      </c>
      <c r="K175">
        <f t="shared" si="38"/>
        <v>0</v>
      </c>
      <c r="L175">
        <f t="shared" si="39"/>
        <v>0</v>
      </c>
      <c r="M175" t="str">
        <f t="shared" si="40"/>
        <v>DOWN</v>
      </c>
      <c r="N175">
        <f t="shared" si="41"/>
        <v>0</v>
      </c>
      <c r="O175">
        <f t="shared" si="42"/>
        <v>0</v>
      </c>
      <c r="P175">
        <f t="shared" si="43"/>
        <v>0</v>
      </c>
      <c r="Q175">
        <f t="shared" si="44"/>
        <v>0</v>
      </c>
      <c r="R175">
        <f t="shared" si="45"/>
        <v>0</v>
      </c>
      <c r="S175">
        <f t="shared" si="46"/>
        <v>0</v>
      </c>
      <c r="T175">
        <f t="shared" si="47"/>
        <v>0</v>
      </c>
      <c r="U175">
        <f t="shared" si="48"/>
        <v>0</v>
      </c>
      <c r="V175">
        <f t="shared" si="49"/>
        <v>0</v>
      </c>
      <c r="W175">
        <f t="shared" si="50"/>
        <v>0</v>
      </c>
      <c r="X175">
        <f t="shared" si="51"/>
        <v>0</v>
      </c>
    </row>
    <row r="176" spans="8:24" x14ac:dyDescent="0.3">
      <c r="H176">
        <f t="shared" si="35"/>
        <v>0</v>
      </c>
      <c r="I176">
        <f t="shared" si="36"/>
        <v>0</v>
      </c>
      <c r="J176">
        <f t="shared" si="37"/>
        <v>0</v>
      </c>
      <c r="K176">
        <f t="shared" si="38"/>
        <v>0</v>
      </c>
      <c r="L176">
        <f t="shared" si="39"/>
        <v>0</v>
      </c>
      <c r="M176" t="str">
        <f t="shared" si="40"/>
        <v>DOWN</v>
      </c>
      <c r="N176">
        <f t="shared" si="41"/>
        <v>0</v>
      </c>
      <c r="O176">
        <f t="shared" si="42"/>
        <v>0</v>
      </c>
      <c r="P176">
        <f t="shared" si="43"/>
        <v>0</v>
      </c>
      <c r="Q176">
        <f t="shared" si="44"/>
        <v>0</v>
      </c>
      <c r="R176">
        <f t="shared" si="45"/>
        <v>0</v>
      </c>
      <c r="S176">
        <f t="shared" si="46"/>
        <v>0</v>
      </c>
      <c r="T176">
        <f t="shared" si="47"/>
        <v>0</v>
      </c>
      <c r="U176">
        <f t="shared" si="48"/>
        <v>0</v>
      </c>
      <c r="V176">
        <f t="shared" si="49"/>
        <v>0</v>
      </c>
      <c r="W176">
        <f t="shared" si="50"/>
        <v>0</v>
      </c>
      <c r="X176">
        <f t="shared" si="51"/>
        <v>0</v>
      </c>
    </row>
    <row r="177" spans="8:24" x14ac:dyDescent="0.3">
      <c r="H177">
        <f t="shared" si="35"/>
        <v>0</v>
      </c>
      <c r="I177">
        <f t="shared" si="36"/>
        <v>0</v>
      </c>
      <c r="J177">
        <f t="shared" si="37"/>
        <v>0</v>
      </c>
      <c r="K177">
        <f t="shared" si="38"/>
        <v>0</v>
      </c>
      <c r="L177">
        <f t="shared" si="39"/>
        <v>0</v>
      </c>
      <c r="M177" t="str">
        <f t="shared" si="40"/>
        <v>DOWN</v>
      </c>
      <c r="N177">
        <f t="shared" si="41"/>
        <v>0</v>
      </c>
      <c r="O177">
        <f t="shared" si="42"/>
        <v>0</v>
      </c>
      <c r="P177">
        <f t="shared" si="43"/>
        <v>0</v>
      </c>
      <c r="Q177">
        <f t="shared" si="44"/>
        <v>0</v>
      </c>
      <c r="R177">
        <f t="shared" si="45"/>
        <v>0</v>
      </c>
      <c r="S177">
        <f t="shared" si="46"/>
        <v>0</v>
      </c>
      <c r="T177">
        <f t="shared" si="47"/>
        <v>0</v>
      </c>
      <c r="U177">
        <f t="shared" si="48"/>
        <v>0</v>
      </c>
      <c r="V177">
        <f t="shared" si="49"/>
        <v>0</v>
      </c>
      <c r="W177">
        <f t="shared" si="50"/>
        <v>0</v>
      </c>
      <c r="X177">
        <f t="shared" si="51"/>
        <v>0</v>
      </c>
    </row>
    <row r="178" spans="8:24" x14ac:dyDescent="0.3">
      <c r="H178">
        <f t="shared" si="35"/>
        <v>0</v>
      </c>
      <c r="I178">
        <f t="shared" si="36"/>
        <v>0</v>
      </c>
      <c r="J178">
        <f t="shared" si="37"/>
        <v>0</v>
      </c>
      <c r="K178">
        <f t="shared" si="38"/>
        <v>0</v>
      </c>
      <c r="L178">
        <f t="shared" si="39"/>
        <v>0</v>
      </c>
      <c r="M178" t="str">
        <f t="shared" si="40"/>
        <v>DOWN</v>
      </c>
      <c r="N178">
        <f t="shared" si="41"/>
        <v>0</v>
      </c>
      <c r="O178">
        <f t="shared" si="42"/>
        <v>0</v>
      </c>
      <c r="P178">
        <f t="shared" si="43"/>
        <v>0</v>
      </c>
      <c r="Q178">
        <f t="shared" si="44"/>
        <v>0</v>
      </c>
      <c r="R178">
        <f t="shared" si="45"/>
        <v>0</v>
      </c>
      <c r="S178">
        <f t="shared" si="46"/>
        <v>0</v>
      </c>
      <c r="T178">
        <f t="shared" si="47"/>
        <v>0</v>
      </c>
      <c r="U178">
        <f t="shared" si="48"/>
        <v>0</v>
      </c>
      <c r="V178">
        <f t="shared" si="49"/>
        <v>0</v>
      </c>
      <c r="W178">
        <f t="shared" si="50"/>
        <v>0</v>
      </c>
      <c r="X178">
        <f t="shared" si="51"/>
        <v>0</v>
      </c>
    </row>
    <row r="179" spans="8:24" x14ac:dyDescent="0.3">
      <c r="H179">
        <f t="shared" si="35"/>
        <v>0</v>
      </c>
      <c r="I179">
        <f t="shared" si="36"/>
        <v>0</v>
      </c>
      <c r="J179">
        <f t="shared" si="37"/>
        <v>0</v>
      </c>
      <c r="K179">
        <f t="shared" si="38"/>
        <v>0</v>
      </c>
      <c r="L179">
        <f t="shared" si="39"/>
        <v>0</v>
      </c>
      <c r="M179" t="str">
        <f t="shared" si="40"/>
        <v>DOWN</v>
      </c>
      <c r="N179">
        <f t="shared" si="41"/>
        <v>0</v>
      </c>
      <c r="O179">
        <f t="shared" si="42"/>
        <v>0</v>
      </c>
      <c r="P179">
        <f t="shared" si="43"/>
        <v>0</v>
      </c>
      <c r="Q179">
        <f t="shared" si="44"/>
        <v>0</v>
      </c>
      <c r="R179">
        <f t="shared" si="45"/>
        <v>0</v>
      </c>
      <c r="S179">
        <f t="shared" si="46"/>
        <v>0</v>
      </c>
      <c r="T179">
        <f t="shared" si="47"/>
        <v>0</v>
      </c>
      <c r="U179">
        <f t="shared" si="48"/>
        <v>0</v>
      </c>
      <c r="V179">
        <f t="shared" si="49"/>
        <v>0</v>
      </c>
      <c r="W179">
        <f t="shared" si="50"/>
        <v>0</v>
      </c>
      <c r="X179">
        <f t="shared" si="51"/>
        <v>0</v>
      </c>
    </row>
    <row r="180" spans="8:24" x14ac:dyDescent="0.3">
      <c r="H180">
        <f t="shared" si="35"/>
        <v>0</v>
      </c>
      <c r="I180">
        <f t="shared" si="36"/>
        <v>0</v>
      </c>
      <c r="J180">
        <f t="shared" si="37"/>
        <v>0</v>
      </c>
      <c r="K180">
        <f t="shared" si="38"/>
        <v>0</v>
      </c>
      <c r="L180">
        <f t="shared" si="39"/>
        <v>0</v>
      </c>
      <c r="M180" t="str">
        <f t="shared" si="40"/>
        <v>DOWN</v>
      </c>
      <c r="N180">
        <f t="shared" si="41"/>
        <v>0</v>
      </c>
      <c r="O180">
        <f t="shared" si="42"/>
        <v>0</v>
      </c>
      <c r="P180">
        <f t="shared" si="43"/>
        <v>0</v>
      </c>
      <c r="Q180">
        <f t="shared" si="44"/>
        <v>0</v>
      </c>
      <c r="R180">
        <f t="shared" si="45"/>
        <v>0</v>
      </c>
      <c r="S180">
        <f t="shared" si="46"/>
        <v>0</v>
      </c>
      <c r="T180">
        <f t="shared" si="47"/>
        <v>0</v>
      </c>
      <c r="U180">
        <f t="shared" si="48"/>
        <v>0</v>
      </c>
      <c r="V180">
        <f t="shared" si="49"/>
        <v>0</v>
      </c>
      <c r="W180">
        <f t="shared" si="50"/>
        <v>0</v>
      </c>
      <c r="X180">
        <f t="shared" si="51"/>
        <v>0</v>
      </c>
    </row>
    <row r="181" spans="8:24" x14ac:dyDescent="0.3">
      <c r="H181">
        <f t="shared" si="35"/>
        <v>0</v>
      </c>
      <c r="I181">
        <f t="shared" si="36"/>
        <v>0</v>
      </c>
      <c r="J181">
        <f t="shared" si="37"/>
        <v>0</v>
      </c>
      <c r="K181">
        <f t="shared" si="38"/>
        <v>0</v>
      </c>
      <c r="L181">
        <f t="shared" si="39"/>
        <v>0</v>
      </c>
      <c r="M181" t="str">
        <f t="shared" si="40"/>
        <v>DOWN</v>
      </c>
      <c r="N181">
        <f t="shared" si="41"/>
        <v>0</v>
      </c>
      <c r="O181">
        <f t="shared" si="42"/>
        <v>0</v>
      </c>
      <c r="P181">
        <f t="shared" si="43"/>
        <v>0</v>
      </c>
      <c r="Q181">
        <f t="shared" si="44"/>
        <v>0</v>
      </c>
      <c r="R181">
        <f t="shared" si="45"/>
        <v>0</v>
      </c>
      <c r="S181">
        <f t="shared" si="46"/>
        <v>0</v>
      </c>
      <c r="T181">
        <f t="shared" si="47"/>
        <v>0</v>
      </c>
      <c r="U181">
        <f t="shared" si="48"/>
        <v>0</v>
      </c>
      <c r="V181">
        <f t="shared" si="49"/>
        <v>0</v>
      </c>
      <c r="W181">
        <f t="shared" si="50"/>
        <v>0</v>
      </c>
      <c r="X181">
        <f t="shared" si="51"/>
        <v>0</v>
      </c>
    </row>
    <row r="182" spans="8:24" x14ac:dyDescent="0.3">
      <c r="H182">
        <f t="shared" si="35"/>
        <v>0</v>
      </c>
      <c r="I182">
        <f t="shared" si="36"/>
        <v>0</v>
      </c>
      <c r="J182">
        <f t="shared" si="37"/>
        <v>0</v>
      </c>
      <c r="K182">
        <f t="shared" si="38"/>
        <v>0</v>
      </c>
      <c r="L182">
        <f t="shared" si="39"/>
        <v>0</v>
      </c>
      <c r="M182" t="str">
        <f t="shared" si="40"/>
        <v>DOWN</v>
      </c>
      <c r="N182">
        <f t="shared" si="41"/>
        <v>0</v>
      </c>
      <c r="O182">
        <f t="shared" si="42"/>
        <v>0</v>
      </c>
      <c r="P182">
        <f t="shared" si="43"/>
        <v>0</v>
      </c>
      <c r="Q182">
        <f t="shared" si="44"/>
        <v>0</v>
      </c>
      <c r="R182">
        <f t="shared" si="45"/>
        <v>0</v>
      </c>
      <c r="S182">
        <f t="shared" si="46"/>
        <v>0</v>
      </c>
      <c r="T182">
        <f t="shared" si="47"/>
        <v>0</v>
      </c>
      <c r="U182">
        <f t="shared" si="48"/>
        <v>0</v>
      </c>
      <c r="V182">
        <f t="shared" si="49"/>
        <v>0</v>
      </c>
      <c r="W182">
        <f t="shared" si="50"/>
        <v>0</v>
      </c>
      <c r="X182">
        <f t="shared" si="51"/>
        <v>0</v>
      </c>
    </row>
    <row r="183" spans="8:24" x14ac:dyDescent="0.3">
      <c r="H183">
        <f t="shared" si="35"/>
        <v>0</v>
      </c>
      <c r="I183">
        <f t="shared" si="36"/>
        <v>0</v>
      </c>
      <c r="J183">
        <f t="shared" si="37"/>
        <v>0</v>
      </c>
      <c r="K183">
        <f t="shared" si="38"/>
        <v>0</v>
      </c>
      <c r="L183">
        <f t="shared" si="39"/>
        <v>0</v>
      </c>
      <c r="M183" t="str">
        <f t="shared" si="40"/>
        <v>DOWN</v>
      </c>
      <c r="N183">
        <f t="shared" si="41"/>
        <v>0</v>
      </c>
      <c r="O183">
        <f t="shared" si="42"/>
        <v>0</v>
      </c>
      <c r="P183">
        <f t="shared" si="43"/>
        <v>0</v>
      </c>
      <c r="Q183">
        <f t="shared" si="44"/>
        <v>0</v>
      </c>
      <c r="R183">
        <f t="shared" si="45"/>
        <v>0</v>
      </c>
      <c r="S183">
        <f t="shared" si="46"/>
        <v>0</v>
      </c>
      <c r="T183">
        <f t="shared" si="47"/>
        <v>0</v>
      </c>
      <c r="U183">
        <f t="shared" si="48"/>
        <v>0</v>
      </c>
      <c r="V183">
        <f t="shared" si="49"/>
        <v>0</v>
      </c>
      <c r="W183">
        <f t="shared" si="50"/>
        <v>0</v>
      </c>
      <c r="X183">
        <f t="shared" si="51"/>
        <v>0</v>
      </c>
    </row>
    <row r="184" spans="8:24" x14ac:dyDescent="0.3">
      <c r="H184">
        <f t="shared" si="35"/>
        <v>0</v>
      </c>
      <c r="I184">
        <f t="shared" si="36"/>
        <v>0</v>
      </c>
      <c r="J184">
        <f t="shared" si="37"/>
        <v>0</v>
      </c>
      <c r="K184">
        <f t="shared" si="38"/>
        <v>0</v>
      </c>
      <c r="L184">
        <f t="shared" si="39"/>
        <v>0</v>
      </c>
      <c r="M184" t="str">
        <f t="shared" si="40"/>
        <v>DOWN</v>
      </c>
      <c r="N184">
        <f t="shared" si="41"/>
        <v>0</v>
      </c>
      <c r="O184">
        <f t="shared" si="42"/>
        <v>0</v>
      </c>
      <c r="P184">
        <f t="shared" si="43"/>
        <v>0</v>
      </c>
      <c r="Q184">
        <f t="shared" si="44"/>
        <v>0</v>
      </c>
      <c r="R184">
        <f t="shared" si="45"/>
        <v>0</v>
      </c>
      <c r="S184">
        <f t="shared" si="46"/>
        <v>0</v>
      </c>
      <c r="T184">
        <f t="shared" si="47"/>
        <v>0</v>
      </c>
      <c r="U184">
        <f t="shared" si="48"/>
        <v>0</v>
      </c>
      <c r="V184">
        <f t="shared" si="49"/>
        <v>0</v>
      </c>
      <c r="W184">
        <f t="shared" si="50"/>
        <v>0</v>
      </c>
      <c r="X184">
        <f t="shared" si="51"/>
        <v>0</v>
      </c>
    </row>
    <row r="185" spans="8:24" x14ac:dyDescent="0.3">
      <c r="H185">
        <f t="shared" si="35"/>
        <v>0</v>
      </c>
      <c r="I185">
        <f t="shared" si="36"/>
        <v>0</v>
      </c>
      <c r="J185">
        <f t="shared" si="37"/>
        <v>0</v>
      </c>
      <c r="K185">
        <f t="shared" si="38"/>
        <v>0</v>
      </c>
      <c r="L185">
        <f t="shared" si="39"/>
        <v>0</v>
      </c>
      <c r="M185" t="str">
        <f t="shared" si="40"/>
        <v>DOWN</v>
      </c>
      <c r="N185">
        <f t="shared" si="41"/>
        <v>0</v>
      </c>
      <c r="O185">
        <f t="shared" si="42"/>
        <v>0</v>
      </c>
      <c r="P185">
        <f t="shared" si="43"/>
        <v>0</v>
      </c>
      <c r="Q185">
        <f t="shared" si="44"/>
        <v>0</v>
      </c>
      <c r="R185">
        <f t="shared" si="45"/>
        <v>0</v>
      </c>
      <c r="S185">
        <f t="shared" si="46"/>
        <v>0</v>
      </c>
      <c r="T185">
        <f t="shared" si="47"/>
        <v>0</v>
      </c>
      <c r="U185">
        <f t="shared" si="48"/>
        <v>0</v>
      </c>
      <c r="V185">
        <f t="shared" si="49"/>
        <v>0</v>
      </c>
      <c r="W185">
        <f t="shared" si="50"/>
        <v>0</v>
      </c>
      <c r="X185">
        <f t="shared" si="51"/>
        <v>0</v>
      </c>
    </row>
    <row r="186" spans="8:24" x14ac:dyDescent="0.3">
      <c r="H186">
        <f t="shared" si="35"/>
        <v>0</v>
      </c>
      <c r="I186">
        <f t="shared" si="36"/>
        <v>0</v>
      </c>
      <c r="J186">
        <f t="shared" si="37"/>
        <v>0</v>
      </c>
      <c r="K186">
        <f t="shared" si="38"/>
        <v>0</v>
      </c>
      <c r="L186">
        <f t="shared" si="39"/>
        <v>0</v>
      </c>
      <c r="M186" t="str">
        <f t="shared" si="40"/>
        <v>DOWN</v>
      </c>
      <c r="N186">
        <f t="shared" si="41"/>
        <v>0</v>
      </c>
      <c r="O186">
        <f t="shared" si="42"/>
        <v>0</v>
      </c>
      <c r="P186">
        <f t="shared" si="43"/>
        <v>0</v>
      </c>
      <c r="Q186">
        <f t="shared" si="44"/>
        <v>0</v>
      </c>
      <c r="R186">
        <f t="shared" si="45"/>
        <v>0</v>
      </c>
      <c r="S186">
        <f t="shared" si="46"/>
        <v>0</v>
      </c>
      <c r="T186">
        <f t="shared" si="47"/>
        <v>0</v>
      </c>
      <c r="U186">
        <f t="shared" si="48"/>
        <v>0</v>
      </c>
      <c r="V186">
        <f t="shared" si="49"/>
        <v>0</v>
      </c>
      <c r="W186">
        <f t="shared" si="50"/>
        <v>0</v>
      </c>
      <c r="X186">
        <f t="shared" si="51"/>
        <v>0</v>
      </c>
    </row>
    <row r="187" spans="8:24" x14ac:dyDescent="0.3">
      <c r="H187">
        <f t="shared" si="35"/>
        <v>0</v>
      </c>
      <c r="I187">
        <f t="shared" si="36"/>
        <v>0</v>
      </c>
      <c r="J187">
        <f t="shared" si="37"/>
        <v>0</v>
      </c>
      <c r="K187">
        <f t="shared" si="38"/>
        <v>0</v>
      </c>
      <c r="L187">
        <f t="shared" si="39"/>
        <v>0</v>
      </c>
      <c r="M187" t="str">
        <f t="shared" si="40"/>
        <v>DOWN</v>
      </c>
      <c r="N187">
        <f t="shared" si="41"/>
        <v>0</v>
      </c>
      <c r="O187">
        <f t="shared" si="42"/>
        <v>0</v>
      </c>
      <c r="P187">
        <f t="shared" si="43"/>
        <v>0</v>
      </c>
      <c r="Q187">
        <f t="shared" si="44"/>
        <v>0</v>
      </c>
      <c r="R187">
        <f t="shared" si="45"/>
        <v>0</v>
      </c>
      <c r="S187">
        <f t="shared" si="46"/>
        <v>0</v>
      </c>
      <c r="T187">
        <f t="shared" si="47"/>
        <v>0</v>
      </c>
      <c r="U187">
        <f t="shared" si="48"/>
        <v>0</v>
      </c>
      <c r="V187">
        <f t="shared" si="49"/>
        <v>0</v>
      </c>
      <c r="W187">
        <f t="shared" si="50"/>
        <v>0</v>
      </c>
      <c r="X187">
        <f t="shared" si="51"/>
        <v>0</v>
      </c>
    </row>
    <row r="188" spans="8:24" x14ac:dyDescent="0.3">
      <c r="H188">
        <f t="shared" si="35"/>
        <v>0</v>
      </c>
      <c r="I188">
        <f t="shared" si="36"/>
        <v>0</v>
      </c>
      <c r="J188">
        <f t="shared" si="37"/>
        <v>0</v>
      </c>
      <c r="K188">
        <f t="shared" si="38"/>
        <v>0</v>
      </c>
      <c r="L188">
        <f t="shared" si="39"/>
        <v>0</v>
      </c>
      <c r="M188" t="str">
        <f t="shared" si="40"/>
        <v>DOWN</v>
      </c>
      <c r="N188">
        <f t="shared" si="41"/>
        <v>0</v>
      </c>
      <c r="O188">
        <f t="shared" si="42"/>
        <v>0</v>
      </c>
      <c r="P188">
        <f t="shared" si="43"/>
        <v>0</v>
      </c>
      <c r="Q188">
        <f t="shared" si="44"/>
        <v>0</v>
      </c>
      <c r="R188">
        <f t="shared" si="45"/>
        <v>0</v>
      </c>
      <c r="S188">
        <f t="shared" si="46"/>
        <v>0</v>
      </c>
      <c r="T188">
        <f t="shared" si="47"/>
        <v>0</v>
      </c>
      <c r="U188">
        <f t="shared" si="48"/>
        <v>0</v>
      </c>
      <c r="V188">
        <f t="shared" si="49"/>
        <v>0</v>
      </c>
      <c r="W188">
        <f t="shared" si="50"/>
        <v>0</v>
      </c>
      <c r="X188">
        <f t="shared" si="51"/>
        <v>0</v>
      </c>
    </row>
    <row r="189" spans="8:24" x14ac:dyDescent="0.3">
      <c r="H189">
        <f t="shared" si="35"/>
        <v>0</v>
      </c>
      <c r="I189">
        <f t="shared" si="36"/>
        <v>0</v>
      </c>
      <c r="J189">
        <f t="shared" si="37"/>
        <v>0</v>
      </c>
      <c r="K189">
        <f t="shared" si="38"/>
        <v>0</v>
      </c>
      <c r="L189">
        <f t="shared" si="39"/>
        <v>0</v>
      </c>
      <c r="M189" t="str">
        <f t="shared" si="40"/>
        <v>DOWN</v>
      </c>
      <c r="N189">
        <f t="shared" si="41"/>
        <v>0</v>
      </c>
      <c r="O189">
        <f t="shared" si="42"/>
        <v>0</v>
      </c>
      <c r="P189">
        <f t="shared" si="43"/>
        <v>0</v>
      </c>
      <c r="Q189">
        <f t="shared" si="44"/>
        <v>0</v>
      </c>
      <c r="R189">
        <f t="shared" si="45"/>
        <v>0</v>
      </c>
      <c r="S189">
        <f t="shared" si="46"/>
        <v>0</v>
      </c>
      <c r="T189">
        <f t="shared" si="47"/>
        <v>0</v>
      </c>
      <c r="U189">
        <f t="shared" si="48"/>
        <v>0</v>
      </c>
      <c r="V189">
        <f t="shared" si="49"/>
        <v>0</v>
      </c>
      <c r="W189">
        <f t="shared" si="50"/>
        <v>0</v>
      </c>
      <c r="X189">
        <f t="shared" si="51"/>
        <v>0</v>
      </c>
    </row>
    <row r="190" spans="8:24" x14ac:dyDescent="0.3">
      <c r="H190">
        <f t="shared" si="35"/>
        <v>0</v>
      </c>
      <c r="I190">
        <f t="shared" si="36"/>
        <v>0</v>
      </c>
      <c r="J190">
        <f t="shared" si="37"/>
        <v>0</v>
      </c>
      <c r="K190">
        <f t="shared" si="38"/>
        <v>0</v>
      </c>
      <c r="L190">
        <f t="shared" si="39"/>
        <v>0</v>
      </c>
      <c r="M190" t="str">
        <f t="shared" si="40"/>
        <v>DOWN</v>
      </c>
      <c r="N190">
        <f t="shared" si="41"/>
        <v>0</v>
      </c>
      <c r="O190">
        <f t="shared" si="42"/>
        <v>0</v>
      </c>
      <c r="P190">
        <f t="shared" si="43"/>
        <v>0</v>
      </c>
      <c r="Q190">
        <f t="shared" si="44"/>
        <v>0</v>
      </c>
      <c r="R190">
        <f t="shared" si="45"/>
        <v>0</v>
      </c>
      <c r="S190">
        <f t="shared" si="46"/>
        <v>0</v>
      </c>
      <c r="T190">
        <f t="shared" si="47"/>
        <v>0</v>
      </c>
      <c r="U190">
        <f t="shared" si="48"/>
        <v>0</v>
      </c>
      <c r="V190">
        <f t="shared" si="49"/>
        <v>0</v>
      </c>
      <c r="W190">
        <f t="shared" si="50"/>
        <v>0</v>
      </c>
      <c r="X190">
        <f t="shared" si="51"/>
        <v>0</v>
      </c>
    </row>
    <row r="191" spans="8:24" x14ac:dyDescent="0.3">
      <c r="H191">
        <f t="shared" si="35"/>
        <v>0</v>
      </c>
      <c r="I191">
        <f t="shared" si="36"/>
        <v>0</v>
      </c>
      <c r="J191">
        <f t="shared" si="37"/>
        <v>0</v>
      </c>
      <c r="K191">
        <f t="shared" si="38"/>
        <v>0</v>
      </c>
      <c r="L191">
        <f t="shared" si="39"/>
        <v>0</v>
      </c>
      <c r="M191" t="str">
        <f t="shared" si="40"/>
        <v>DOWN</v>
      </c>
      <c r="N191">
        <f t="shared" si="41"/>
        <v>0</v>
      </c>
      <c r="O191">
        <f t="shared" si="42"/>
        <v>0</v>
      </c>
      <c r="P191">
        <f t="shared" si="43"/>
        <v>0</v>
      </c>
      <c r="Q191">
        <f t="shared" si="44"/>
        <v>0</v>
      </c>
      <c r="R191">
        <f t="shared" si="45"/>
        <v>0</v>
      </c>
      <c r="S191">
        <f t="shared" si="46"/>
        <v>0</v>
      </c>
      <c r="T191">
        <f t="shared" si="47"/>
        <v>0</v>
      </c>
      <c r="U191">
        <f t="shared" si="48"/>
        <v>0</v>
      </c>
      <c r="V191">
        <f t="shared" si="49"/>
        <v>0</v>
      </c>
      <c r="W191">
        <f t="shared" si="50"/>
        <v>0</v>
      </c>
      <c r="X191">
        <f t="shared" si="51"/>
        <v>0</v>
      </c>
    </row>
    <row r="192" spans="8:24" x14ac:dyDescent="0.3">
      <c r="H192">
        <f t="shared" si="35"/>
        <v>0</v>
      </c>
      <c r="I192">
        <f t="shared" si="36"/>
        <v>0</v>
      </c>
      <c r="J192">
        <f t="shared" si="37"/>
        <v>0</v>
      </c>
      <c r="K192">
        <f t="shared" si="38"/>
        <v>0</v>
      </c>
      <c r="L192">
        <f t="shared" si="39"/>
        <v>0</v>
      </c>
      <c r="M192" t="str">
        <f t="shared" si="40"/>
        <v>DOWN</v>
      </c>
      <c r="N192">
        <f t="shared" si="41"/>
        <v>0</v>
      </c>
      <c r="O192">
        <f t="shared" si="42"/>
        <v>0</v>
      </c>
      <c r="P192">
        <f t="shared" si="43"/>
        <v>0</v>
      </c>
      <c r="Q192">
        <f t="shared" si="44"/>
        <v>0</v>
      </c>
      <c r="R192">
        <f t="shared" si="45"/>
        <v>0</v>
      </c>
      <c r="S192">
        <f t="shared" si="46"/>
        <v>0</v>
      </c>
      <c r="T192">
        <f t="shared" si="47"/>
        <v>0</v>
      </c>
      <c r="U192">
        <f t="shared" si="48"/>
        <v>0</v>
      </c>
      <c r="V192">
        <f t="shared" si="49"/>
        <v>0</v>
      </c>
      <c r="W192">
        <f t="shared" si="50"/>
        <v>0</v>
      </c>
      <c r="X192">
        <f t="shared" si="51"/>
        <v>0</v>
      </c>
    </row>
    <row r="193" spans="8:24" x14ac:dyDescent="0.3">
      <c r="H193">
        <f t="shared" si="35"/>
        <v>0</v>
      </c>
      <c r="I193">
        <f t="shared" si="36"/>
        <v>0</v>
      </c>
      <c r="J193">
        <f t="shared" si="37"/>
        <v>0</v>
      </c>
      <c r="K193">
        <f t="shared" si="38"/>
        <v>0</v>
      </c>
      <c r="L193">
        <f t="shared" si="39"/>
        <v>0</v>
      </c>
      <c r="M193" t="str">
        <f t="shared" si="40"/>
        <v>DOWN</v>
      </c>
      <c r="N193">
        <f t="shared" si="41"/>
        <v>0</v>
      </c>
      <c r="O193">
        <f t="shared" si="42"/>
        <v>0</v>
      </c>
      <c r="P193">
        <f t="shared" si="43"/>
        <v>0</v>
      </c>
      <c r="Q193">
        <f t="shared" si="44"/>
        <v>0</v>
      </c>
      <c r="R193">
        <f t="shared" si="45"/>
        <v>0</v>
      </c>
      <c r="S193">
        <f t="shared" si="46"/>
        <v>0</v>
      </c>
      <c r="T193">
        <f t="shared" si="47"/>
        <v>0</v>
      </c>
      <c r="U193">
        <f t="shared" si="48"/>
        <v>0</v>
      </c>
      <c r="V193">
        <f t="shared" si="49"/>
        <v>0</v>
      </c>
      <c r="W193">
        <f t="shared" si="50"/>
        <v>0</v>
      </c>
      <c r="X193">
        <f t="shared" si="51"/>
        <v>0</v>
      </c>
    </row>
    <row r="194" spans="8:24" x14ac:dyDescent="0.3">
      <c r="H194">
        <f t="shared" ref="H194:H201" si="52">E195</f>
        <v>0</v>
      </c>
      <c r="I194">
        <f t="shared" ref="I194:I201" si="53">MAX(C194,H194)</f>
        <v>0</v>
      </c>
      <c r="J194">
        <f t="shared" ref="J194:J201" si="54">MIN(D194,H194)</f>
        <v>0</v>
      </c>
      <c r="K194">
        <f t="shared" ref="K194:K201" si="55">I194-J194</f>
        <v>0</v>
      </c>
      <c r="L194">
        <f t="shared" ref="L194:L201" si="56">B194-E195</f>
        <v>0</v>
      </c>
      <c r="M194" t="str">
        <f t="shared" ref="M194:M201" si="57">IF(E194&gt;E195,"UP","DOWN")</f>
        <v>DOWN</v>
      </c>
      <c r="N194">
        <f t="shared" ref="N194:N201" si="58">E194-E195</f>
        <v>0</v>
      </c>
      <c r="O194">
        <f t="shared" ref="O194:O257" si="59">SUM(N194:N198)</f>
        <v>0</v>
      </c>
      <c r="P194">
        <f t="shared" ref="P194:P257" si="60">SUM(N194:N203)</f>
        <v>0</v>
      </c>
      <c r="Q194">
        <f t="shared" ref="Q194:Q201" si="61">SUM(N194:N243)</f>
        <v>0</v>
      </c>
      <c r="R194">
        <f t="shared" ref="R194:R257" si="62">SUM(E194:E203)/10</f>
        <v>0</v>
      </c>
      <c r="S194">
        <f t="shared" ref="S194:S257" si="63">R194-R195</f>
        <v>0</v>
      </c>
      <c r="T194">
        <f t="shared" ref="T194:T257" si="64">SUM(E194:E243)/50</f>
        <v>0</v>
      </c>
      <c r="U194">
        <f t="shared" ref="U194:U257" si="65">T194-T195</f>
        <v>0</v>
      </c>
      <c r="V194">
        <f t="shared" ref="V194:V201" si="66">SUM(E194:E293)/100</f>
        <v>0</v>
      </c>
      <c r="W194">
        <f t="shared" ref="W194:W201" si="67">V194-V195</f>
        <v>0</v>
      </c>
      <c r="X194">
        <f t="shared" ref="X194:X201" si="68">SUM(E194:E393)/200</f>
        <v>0</v>
      </c>
    </row>
    <row r="195" spans="8:24" x14ac:dyDescent="0.3">
      <c r="H195">
        <f t="shared" si="52"/>
        <v>0</v>
      </c>
      <c r="I195">
        <f t="shared" si="53"/>
        <v>0</v>
      </c>
      <c r="J195">
        <f t="shared" si="54"/>
        <v>0</v>
      </c>
      <c r="K195">
        <f t="shared" si="55"/>
        <v>0</v>
      </c>
      <c r="L195">
        <f t="shared" si="56"/>
        <v>0</v>
      </c>
      <c r="M195" t="str">
        <f t="shared" si="57"/>
        <v>DOWN</v>
      </c>
      <c r="N195">
        <f t="shared" si="58"/>
        <v>0</v>
      </c>
      <c r="O195">
        <f t="shared" si="59"/>
        <v>0</v>
      </c>
      <c r="P195">
        <f t="shared" si="60"/>
        <v>0</v>
      </c>
      <c r="Q195">
        <f t="shared" si="61"/>
        <v>0</v>
      </c>
      <c r="R195">
        <f t="shared" si="62"/>
        <v>0</v>
      </c>
      <c r="S195">
        <f t="shared" si="63"/>
        <v>0</v>
      </c>
      <c r="T195">
        <f t="shared" si="64"/>
        <v>0</v>
      </c>
      <c r="U195">
        <f t="shared" si="65"/>
        <v>0</v>
      </c>
      <c r="V195">
        <f t="shared" si="66"/>
        <v>0</v>
      </c>
      <c r="W195">
        <f t="shared" si="67"/>
        <v>0</v>
      </c>
      <c r="X195">
        <f t="shared" si="68"/>
        <v>0</v>
      </c>
    </row>
    <row r="196" spans="8:24" x14ac:dyDescent="0.3">
      <c r="H196">
        <f t="shared" si="52"/>
        <v>0</v>
      </c>
      <c r="I196">
        <f t="shared" si="53"/>
        <v>0</v>
      </c>
      <c r="J196">
        <f t="shared" si="54"/>
        <v>0</v>
      </c>
      <c r="K196">
        <f t="shared" si="55"/>
        <v>0</v>
      </c>
      <c r="L196">
        <f t="shared" si="56"/>
        <v>0</v>
      </c>
      <c r="M196" t="str">
        <f t="shared" si="57"/>
        <v>DOWN</v>
      </c>
      <c r="N196">
        <f t="shared" si="58"/>
        <v>0</v>
      </c>
      <c r="O196">
        <f t="shared" si="59"/>
        <v>0</v>
      </c>
      <c r="P196">
        <f t="shared" si="60"/>
        <v>0</v>
      </c>
      <c r="Q196">
        <f t="shared" si="61"/>
        <v>0</v>
      </c>
      <c r="R196">
        <f t="shared" si="62"/>
        <v>0</v>
      </c>
      <c r="S196">
        <f t="shared" si="63"/>
        <v>0</v>
      </c>
      <c r="T196">
        <f t="shared" si="64"/>
        <v>0</v>
      </c>
      <c r="U196">
        <f t="shared" si="65"/>
        <v>0</v>
      </c>
      <c r="V196">
        <f t="shared" si="66"/>
        <v>0</v>
      </c>
      <c r="W196">
        <f t="shared" si="67"/>
        <v>0</v>
      </c>
      <c r="X196">
        <f t="shared" si="68"/>
        <v>0</v>
      </c>
    </row>
    <row r="197" spans="8:24" x14ac:dyDescent="0.3">
      <c r="H197">
        <f t="shared" si="52"/>
        <v>0</v>
      </c>
      <c r="I197">
        <f t="shared" si="53"/>
        <v>0</v>
      </c>
      <c r="J197">
        <f t="shared" si="54"/>
        <v>0</v>
      </c>
      <c r="K197">
        <f t="shared" si="55"/>
        <v>0</v>
      </c>
      <c r="L197">
        <f t="shared" si="56"/>
        <v>0</v>
      </c>
      <c r="M197" t="str">
        <f t="shared" si="57"/>
        <v>DOWN</v>
      </c>
      <c r="N197">
        <f t="shared" si="58"/>
        <v>0</v>
      </c>
      <c r="O197">
        <f t="shared" si="59"/>
        <v>0</v>
      </c>
      <c r="P197">
        <f t="shared" si="60"/>
        <v>0</v>
      </c>
      <c r="Q197">
        <f t="shared" si="61"/>
        <v>0</v>
      </c>
      <c r="R197">
        <f t="shared" si="62"/>
        <v>0</v>
      </c>
      <c r="S197">
        <f t="shared" si="63"/>
        <v>0</v>
      </c>
      <c r="T197">
        <f t="shared" si="64"/>
        <v>0</v>
      </c>
      <c r="U197">
        <f t="shared" si="65"/>
        <v>0</v>
      </c>
      <c r="V197">
        <f t="shared" si="66"/>
        <v>0</v>
      </c>
      <c r="W197">
        <f t="shared" si="67"/>
        <v>0</v>
      </c>
      <c r="X197">
        <f t="shared" si="68"/>
        <v>0</v>
      </c>
    </row>
    <row r="198" spans="8:24" x14ac:dyDescent="0.3">
      <c r="H198">
        <f t="shared" si="52"/>
        <v>0</v>
      </c>
      <c r="I198">
        <f t="shared" si="53"/>
        <v>0</v>
      </c>
      <c r="J198">
        <f t="shared" si="54"/>
        <v>0</v>
      </c>
      <c r="K198">
        <f t="shared" si="55"/>
        <v>0</v>
      </c>
      <c r="L198">
        <f t="shared" si="56"/>
        <v>0</v>
      </c>
      <c r="M198" t="str">
        <f t="shared" si="57"/>
        <v>DOWN</v>
      </c>
      <c r="N198">
        <f t="shared" si="58"/>
        <v>0</v>
      </c>
      <c r="O198">
        <f t="shared" si="59"/>
        <v>0</v>
      </c>
      <c r="P198">
        <f t="shared" si="60"/>
        <v>0</v>
      </c>
      <c r="Q198">
        <f t="shared" si="61"/>
        <v>0</v>
      </c>
      <c r="R198">
        <f t="shared" si="62"/>
        <v>0</v>
      </c>
      <c r="S198">
        <f t="shared" si="63"/>
        <v>0</v>
      </c>
      <c r="T198">
        <f t="shared" si="64"/>
        <v>0</v>
      </c>
      <c r="U198">
        <f t="shared" si="65"/>
        <v>0</v>
      </c>
      <c r="V198">
        <f t="shared" si="66"/>
        <v>0</v>
      </c>
      <c r="W198">
        <f t="shared" si="67"/>
        <v>0</v>
      </c>
      <c r="X198">
        <f t="shared" si="68"/>
        <v>0</v>
      </c>
    </row>
    <row r="199" spans="8:24" x14ac:dyDescent="0.3">
      <c r="H199">
        <f t="shared" si="52"/>
        <v>0</v>
      </c>
      <c r="I199">
        <f t="shared" si="53"/>
        <v>0</v>
      </c>
      <c r="J199">
        <f t="shared" si="54"/>
        <v>0</v>
      </c>
      <c r="K199">
        <f t="shared" si="55"/>
        <v>0</v>
      </c>
      <c r="L199">
        <f t="shared" si="56"/>
        <v>0</v>
      </c>
      <c r="M199" t="str">
        <f t="shared" si="57"/>
        <v>DOWN</v>
      </c>
      <c r="N199">
        <f t="shared" si="58"/>
        <v>0</v>
      </c>
      <c r="O199">
        <f t="shared" si="59"/>
        <v>0</v>
      </c>
      <c r="P199">
        <f t="shared" si="60"/>
        <v>0</v>
      </c>
      <c r="Q199">
        <f t="shared" si="61"/>
        <v>0</v>
      </c>
      <c r="R199">
        <f t="shared" si="62"/>
        <v>0</v>
      </c>
      <c r="S199">
        <f t="shared" si="63"/>
        <v>0</v>
      </c>
      <c r="T199">
        <f t="shared" si="64"/>
        <v>0</v>
      </c>
      <c r="U199">
        <f t="shared" si="65"/>
        <v>0</v>
      </c>
      <c r="V199">
        <f t="shared" si="66"/>
        <v>0</v>
      </c>
      <c r="W199">
        <f t="shared" si="67"/>
        <v>0</v>
      </c>
      <c r="X199">
        <f t="shared" si="68"/>
        <v>0</v>
      </c>
    </row>
    <row r="200" spans="8:24" x14ac:dyDescent="0.3">
      <c r="H200">
        <f t="shared" si="52"/>
        <v>0</v>
      </c>
      <c r="I200">
        <f t="shared" si="53"/>
        <v>0</v>
      </c>
      <c r="J200">
        <f t="shared" si="54"/>
        <v>0</v>
      </c>
      <c r="K200">
        <f t="shared" si="55"/>
        <v>0</v>
      </c>
      <c r="L200">
        <f t="shared" si="56"/>
        <v>0</v>
      </c>
      <c r="M200" t="str">
        <f t="shared" si="57"/>
        <v>DOWN</v>
      </c>
      <c r="N200">
        <f t="shared" si="58"/>
        <v>0</v>
      </c>
      <c r="O200">
        <f t="shared" si="59"/>
        <v>0</v>
      </c>
      <c r="P200">
        <f t="shared" si="60"/>
        <v>0</v>
      </c>
      <c r="Q200">
        <f t="shared" si="61"/>
        <v>0</v>
      </c>
      <c r="R200">
        <f t="shared" si="62"/>
        <v>0</v>
      </c>
      <c r="S200">
        <f t="shared" si="63"/>
        <v>0</v>
      </c>
      <c r="T200">
        <f t="shared" si="64"/>
        <v>0</v>
      </c>
      <c r="U200">
        <f t="shared" si="65"/>
        <v>0</v>
      </c>
      <c r="V200">
        <f t="shared" si="66"/>
        <v>0</v>
      </c>
      <c r="W200">
        <f t="shared" si="67"/>
        <v>0</v>
      </c>
      <c r="X200">
        <f t="shared" si="68"/>
        <v>0</v>
      </c>
    </row>
    <row r="201" spans="8:24" x14ac:dyDescent="0.3">
      <c r="H201">
        <f t="shared" si="52"/>
        <v>0</v>
      </c>
      <c r="I201">
        <f t="shared" si="53"/>
        <v>0</v>
      </c>
      <c r="J201">
        <f t="shared" si="54"/>
        <v>0</v>
      </c>
      <c r="K201">
        <f t="shared" si="55"/>
        <v>0</v>
      </c>
      <c r="L201">
        <f t="shared" si="56"/>
        <v>0</v>
      </c>
      <c r="M201" t="str">
        <f t="shared" si="57"/>
        <v>DOWN</v>
      </c>
      <c r="N201">
        <f t="shared" si="58"/>
        <v>0</v>
      </c>
      <c r="O201">
        <f t="shared" si="59"/>
        <v>0</v>
      </c>
      <c r="P201">
        <f t="shared" si="60"/>
        <v>0</v>
      </c>
      <c r="Q201">
        <f t="shared" si="61"/>
        <v>0</v>
      </c>
      <c r="R201">
        <f t="shared" si="62"/>
        <v>0</v>
      </c>
      <c r="S201">
        <f t="shared" si="63"/>
        <v>0</v>
      </c>
      <c r="T201">
        <f t="shared" si="64"/>
        <v>0</v>
      </c>
      <c r="U201">
        <f t="shared" si="65"/>
        <v>0</v>
      </c>
      <c r="V201">
        <f t="shared" si="66"/>
        <v>0</v>
      </c>
      <c r="W201">
        <f t="shared" si="67"/>
        <v>0</v>
      </c>
      <c r="X201">
        <f t="shared" si="68"/>
        <v>0</v>
      </c>
    </row>
    <row r="202" spans="8:24" x14ac:dyDescent="0.3">
      <c r="O202">
        <f t="shared" si="59"/>
        <v>0</v>
      </c>
      <c r="P202">
        <f t="shared" si="60"/>
        <v>0</v>
      </c>
      <c r="R202">
        <f t="shared" si="62"/>
        <v>0</v>
      </c>
      <c r="S202">
        <f t="shared" si="63"/>
        <v>0</v>
      </c>
      <c r="T202">
        <f t="shared" si="64"/>
        <v>0</v>
      </c>
      <c r="U202">
        <f t="shared" si="65"/>
        <v>0</v>
      </c>
    </row>
    <row r="203" spans="8:24" x14ac:dyDescent="0.3">
      <c r="O203">
        <f t="shared" si="59"/>
        <v>0</v>
      </c>
      <c r="P203">
        <f t="shared" si="60"/>
        <v>0</v>
      </c>
      <c r="R203">
        <f t="shared" si="62"/>
        <v>0</v>
      </c>
      <c r="S203">
        <f t="shared" si="63"/>
        <v>0</v>
      </c>
      <c r="T203">
        <f t="shared" si="64"/>
        <v>0</v>
      </c>
      <c r="U203">
        <f t="shared" si="65"/>
        <v>0</v>
      </c>
    </row>
    <row r="204" spans="8:24" x14ac:dyDescent="0.3">
      <c r="O204">
        <f t="shared" si="59"/>
        <v>0</v>
      </c>
      <c r="P204">
        <f t="shared" si="60"/>
        <v>0</v>
      </c>
      <c r="R204">
        <f t="shared" si="62"/>
        <v>0</v>
      </c>
      <c r="S204">
        <f t="shared" si="63"/>
        <v>0</v>
      </c>
      <c r="T204">
        <f t="shared" si="64"/>
        <v>0</v>
      </c>
      <c r="U204">
        <f t="shared" si="65"/>
        <v>0</v>
      </c>
    </row>
    <row r="205" spans="8:24" x14ac:dyDescent="0.3">
      <c r="O205">
        <f t="shared" si="59"/>
        <v>0</v>
      </c>
      <c r="P205">
        <f t="shared" si="60"/>
        <v>0</v>
      </c>
      <c r="R205">
        <f t="shared" si="62"/>
        <v>0</v>
      </c>
      <c r="S205">
        <f t="shared" si="63"/>
        <v>0</v>
      </c>
      <c r="T205">
        <f t="shared" si="64"/>
        <v>0</v>
      </c>
      <c r="U205">
        <f t="shared" si="65"/>
        <v>0</v>
      </c>
    </row>
    <row r="206" spans="8:24" x14ac:dyDescent="0.3">
      <c r="O206">
        <f t="shared" si="59"/>
        <v>0</v>
      </c>
      <c r="P206">
        <f t="shared" si="60"/>
        <v>0</v>
      </c>
      <c r="R206">
        <f t="shared" si="62"/>
        <v>0</v>
      </c>
      <c r="S206">
        <f t="shared" si="63"/>
        <v>0</v>
      </c>
      <c r="T206">
        <f t="shared" si="64"/>
        <v>0</v>
      </c>
      <c r="U206">
        <f t="shared" si="65"/>
        <v>0</v>
      </c>
    </row>
    <row r="207" spans="8:24" x14ac:dyDescent="0.3">
      <c r="O207">
        <f t="shared" si="59"/>
        <v>0</v>
      </c>
      <c r="P207">
        <f t="shared" si="60"/>
        <v>0</v>
      </c>
      <c r="R207">
        <f t="shared" si="62"/>
        <v>0</v>
      </c>
      <c r="S207">
        <f t="shared" si="63"/>
        <v>0</v>
      </c>
      <c r="T207">
        <f t="shared" si="64"/>
        <v>0</v>
      </c>
      <c r="U207">
        <f t="shared" si="65"/>
        <v>0</v>
      </c>
    </row>
    <row r="208" spans="8:24" x14ac:dyDescent="0.3">
      <c r="O208">
        <f t="shared" si="59"/>
        <v>0</v>
      </c>
      <c r="P208">
        <f t="shared" si="60"/>
        <v>0</v>
      </c>
      <c r="R208">
        <f t="shared" si="62"/>
        <v>0</v>
      </c>
      <c r="S208">
        <f t="shared" si="63"/>
        <v>0</v>
      </c>
      <c r="T208">
        <f t="shared" si="64"/>
        <v>0</v>
      </c>
      <c r="U208">
        <f t="shared" si="65"/>
        <v>0</v>
      </c>
    </row>
    <row r="209" spans="15:21" x14ac:dyDescent="0.3">
      <c r="O209">
        <f t="shared" si="59"/>
        <v>0</v>
      </c>
      <c r="P209">
        <f t="shared" si="60"/>
        <v>0</v>
      </c>
      <c r="R209">
        <f t="shared" si="62"/>
        <v>0</v>
      </c>
      <c r="S209">
        <f t="shared" si="63"/>
        <v>0</v>
      </c>
      <c r="T209">
        <f t="shared" si="64"/>
        <v>0</v>
      </c>
      <c r="U209">
        <f t="shared" si="65"/>
        <v>0</v>
      </c>
    </row>
    <row r="210" spans="15:21" x14ac:dyDescent="0.3">
      <c r="O210">
        <f t="shared" si="59"/>
        <v>0</v>
      </c>
      <c r="P210">
        <f t="shared" si="60"/>
        <v>0</v>
      </c>
      <c r="R210">
        <f t="shared" si="62"/>
        <v>0</v>
      </c>
      <c r="S210">
        <f t="shared" si="63"/>
        <v>0</v>
      </c>
      <c r="T210">
        <f t="shared" si="64"/>
        <v>0</v>
      </c>
      <c r="U210">
        <f t="shared" si="65"/>
        <v>0</v>
      </c>
    </row>
    <row r="211" spans="15:21" x14ac:dyDescent="0.3">
      <c r="O211">
        <f t="shared" si="59"/>
        <v>0</v>
      </c>
      <c r="P211">
        <f t="shared" si="60"/>
        <v>0</v>
      </c>
      <c r="R211">
        <f t="shared" si="62"/>
        <v>0</v>
      </c>
      <c r="S211">
        <f t="shared" si="63"/>
        <v>0</v>
      </c>
      <c r="T211">
        <f t="shared" si="64"/>
        <v>0</v>
      </c>
      <c r="U211">
        <f t="shared" si="65"/>
        <v>0</v>
      </c>
    </row>
    <row r="212" spans="15:21" x14ac:dyDescent="0.3">
      <c r="O212">
        <f t="shared" si="59"/>
        <v>0</v>
      </c>
      <c r="P212">
        <f t="shared" si="60"/>
        <v>0</v>
      </c>
      <c r="R212">
        <f t="shared" si="62"/>
        <v>0</v>
      </c>
      <c r="S212">
        <f t="shared" si="63"/>
        <v>0</v>
      </c>
      <c r="T212">
        <f t="shared" si="64"/>
        <v>0</v>
      </c>
      <c r="U212">
        <f t="shared" si="65"/>
        <v>0</v>
      </c>
    </row>
    <row r="213" spans="15:21" x14ac:dyDescent="0.3">
      <c r="O213">
        <f t="shared" si="59"/>
        <v>0</v>
      </c>
      <c r="P213">
        <f t="shared" si="60"/>
        <v>0</v>
      </c>
      <c r="R213">
        <f t="shared" si="62"/>
        <v>0</v>
      </c>
      <c r="S213">
        <f t="shared" si="63"/>
        <v>0</v>
      </c>
      <c r="T213">
        <f t="shared" si="64"/>
        <v>0</v>
      </c>
      <c r="U213">
        <f t="shared" si="65"/>
        <v>0</v>
      </c>
    </row>
    <row r="214" spans="15:21" x14ac:dyDescent="0.3">
      <c r="O214">
        <f t="shared" si="59"/>
        <v>0</v>
      </c>
      <c r="P214">
        <f t="shared" si="60"/>
        <v>0</v>
      </c>
      <c r="R214">
        <f t="shared" si="62"/>
        <v>0</v>
      </c>
      <c r="S214">
        <f t="shared" si="63"/>
        <v>0</v>
      </c>
      <c r="T214">
        <f t="shared" si="64"/>
        <v>0</v>
      </c>
      <c r="U214">
        <f t="shared" si="65"/>
        <v>0</v>
      </c>
    </row>
    <row r="215" spans="15:21" x14ac:dyDescent="0.3">
      <c r="O215">
        <f t="shared" si="59"/>
        <v>0</v>
      </c>
      <c r="P215">
        <f t="shared" si="60"/>
        <v>0</v>
      </c>
      <c r="R215">
        <f t="shared" si="62"/>
        <v>0</v>
      </c>
      <c r="S215">
        <f t="shared" si="63"/>
        <v>0</v>
      </c>
      <c r="T215">
        <f t="shared" si="64"/>
        <v>0</v>
      </c>
      <c r="U215">
        <f t="shared" si="65"/>
        <v>0</v>
      </c>
    </row>
    <row r="216" spans="15:21" x14ac:dyDescent="0.3">
      <c r="O216">
        <f t="shared" si="59"/>
        <v>0</v>
      </c>
      <c r="P216">
        <f t="shared" si="60"/>
        <v>0</v>
      </c>
      <c r="R216">
        <f t="shared" si="62"/>
        <v>0</v>
      </c>
      <c r="S216">
        <f t="shared" si="63"/>
        <v>0</v>
      </c>
      <c r="T216">
        <f t="shared" si="64"/>
        <v>0</v>
      </c>
      <c r="U216">
        <f t="shared" si="65"/>
        <v>0</v>
      </c>
    </row>
    <row r="217" spans="15:21" x14ac:dyDescent="0.3">
      <c r="O217">
        <f t="shared" si="59"/>
        <v>0</v>
      </c>
      <c r="P217">
        <f t="shared" si="60"/>
        <v>0</v>
      </c>
      <c r="R217">
        <f t="shared" si="62"/>
        <v>0</v>
      </c>
      <c r="S217">
        <f t="shared" si="63"/>
        <v>0</v>
      </c>
      <c r="T217">
        <f t="shared" si="64"/>
        <v>0</v>
      </c>
      <c r="U217">
        <f t="shared" si="65"/>
        <v>0</v>
      </c>
    </row>
    <row r="218" spans="15:21" x14ac:dyDescent="0.3">
      <c r="O218">
        <f t="shared" si="59"/>
        <v>0</v>
      </c>
      <c r="P218">
        <f t="shared" si="60"/>
        <v>0</v>
      </c>
      <c r="R218">
        <f t="shared" si="62"/>
        <v>0</v>
      </c>
      <c r="S218">
        <f t="shared" si="63"/>
        <v>0</v>
      </c>
      <c r="T218">
        <f t="shared" si="64"/>
        <v>0</v>
      </c>
      <c r="U218">
        <f t="shared" si="65"/>
        <v>0</v>
      </c>
    </row>
    <row r="219" spans="15:21" x14ac:dyDescent="0.3">
      <c r="O219">
        <f t="shared" si="59"/>
        <v>0</v>
      </c>
      <c r="P219">
        <f t="shared" si="60"/>
        <v>0</v>
      </c>
      <c r="R219">
        <f t="shared" si="62"/>
        <v>0</v>
      </c>
      <c r="S219">
        <f t="shared" si="63"/>
        <v>0</v>
      </c>
      <c r="T219">
        <f t="shared" si="64"/>
        <v>0</v>
      </c>
      <c r="U219">
        <f t="shared" si="65"/>
        <v>0</v>
      </c>
    </row>
    <row r="220" spans="15:21" x14ac:dyDescent="0.3">
      <c r="O220">
        <f t="shared" si="59"/>
        <v>0</v>
      </c>
      <c r="P220">
        <f t="shared" si="60"/>
        <v>0</v>
      </c>
      <c r="R220">
        <f t="shared" si="62"/>
        <v>0</v>
      </c>
      <c r="S220">
        <f t="shared" si="63"/>
        <v>0</v>
      </c>
      <c r="T220">
        <f t="shared" si="64"/>
        <v>0</v>
      </c>
      <c r="U220">
        <f t="shared" si="65"/>
        <v>0</v>
      </c>
    </row>
    <row r="221" spans="15:21" x14ac:dyDescent="0.3">
      <c r="O221">
        <f t="shared" si="59"/>
        <v>0</v>
      </c>
      <c r="P221">
        <f t="shared" si="60"/>
        <v>0</v>
      </c>
      <c r="R221">
        <f t="shared" si="62"/>
        <v>0</v>
      </c>
      <c r="S221">
        <f t="shared" si="63"/>
        <v>0</v>
      </c>
      <c r="T221">
        <f t="shared" si="64"/>
        <v>0</v>
      </c>
      <c r="U221">
        <f t="shared" si="65"/>
        <v>0</v>
      </c>
    </row>
    <row r="222" spans="15:21" x14ac:dyDescent="0.3">
      <c r="O222">
        <f t="shared" si="59"/>
        <v>0</v>
      </c>
      <c r="P222">
        <f t="shared" si="60"/>
        <v>0</v>
      </c>
      <c r="R222">
        <f t="shared" si="62"/>
        <v>0</v>
      </c>
      <c r="S222">
        <f t="shared" si="63"/>
        <v>0</v>
      </c>
      <c r="T222">
        <f t="shared" si="64"/>
        <v>0</v>
      </c>
      <c r="U222">
        <f t="shared" si="65"/>
        <v>0</v>
      </c>
    </row>
    <row r="223" spans="15:21" x14ac:dyDescent="0.3">
      <c r="O223">
        <f t="shared" si="59"/>
        <v>0</v>
      </c>
      <c r="P223">
        <f t="shared" si="60"/>
        <v>0</v>
      </c>
      <c r="R223">
        <f t="shared" si="62"/>
        <v>0</v>
      </c>
      <c r="S223">
        <f t="shared" si="63"/>
        <v>0</v>
      </c>
      <c r="T223">
        <f t="shared" si="64"/>
        <v>0</v>
      </c>
      <c r="U223">
        <f t="shared" si="65"/>
        <v>0</v>
      </c>
    </row>
    <row r="224" spans="15:21" x14ac:dyDescent="0.3">
      <c r="O224">
        <f t="shared" si="59"/>
        <v>0</v>
      </c>
      <c r="P224">
        <f t="shared" si="60"/>
        <v>0</v>
      </c>
      <c r="R224">
        <f t="shared" si="62"/>
        <v>0</v>
      </c>
      <c r="S224">
        <f t="shared" si="63"/>
        <v>0</v>
      </c>
      <c r="T224">
        <f t="shared" si="64"/>
        <v>0</v>
      </c>
      <c r="U224">
        <f t="shared" si="65"/>
        <v>0</v>
      </c>
    </row>
    <row r="225" spans="15:21" x14ac:dyDescent="0.3">
      <c r="O225">
        <f t="shared" si="59"/>
        <v>0</v>
      </c>
      <c r="P225">
        <f t="shared" si="60"/>
        <v>0</v>
      </c>
      <c r="R225">
        <f t="shared" si="62"/>
        <v>0</v>
      </c>
      <c r="S225">
        <f t="shared" si="63"/>
        <v>0</v>
      </c>
      <c r="T225">
        <f t="shared" si="64"/>
        <v>0</v>
      </c>
      <c r="U225">
        <f t="shared" si="65"/>
        <v>0</v>
      </c>
    </row>
    <row r="226" spans="15:21" x14ac:dyDescent="0.3">
      <c r="O226">
        <f t="shared" si="59"/>
        <v>0</v>
      </c>
      <c r="P226">
        <f t="shared" si="60"/>
        <v>0</v>
      </c>
      <c r="R226">
        <f t="shared" si="62"/>
        <v>0</v>
      </c>
      <c r="S226">
        <f t="shared" si="63"/>
        <v>0</v>
      </c>
      <c r="T226">
        <f t="shared" si="64"/>
        <v>0</v>
      </c>
      <c r="U226">
        <f t="shared" si="65"/>
        <v>0</v>
      </c>
    </row>
    <row r="227" spans="15:21" x14ac:dyDescent="0.3">
      <c r="O227">
        <f t="shared" si="59"/>
        <v>0</v>
      </c>
      <c r="P227">
        <f t="shared" si="60"/>
        <v>0</v>
      </c>
      <c r="R227">
        <f t="shared" si="62"/>
        <v>0</v>
      </c>
      <c r="S227">
        <f t="shared" si="63"/>
        <v>0</v>
      </c>
      <c r="T227">
        <f t="shared" si="64"/>
        <v>0</v>
      </c>
      <c r="U227">
        <f t="shared" si="65"/>
        <v>0</v>
      </c>
    </row>
    <row r="228" spans="15:21" x14ac:dyDescent="0.3">
      <c r="O228">
        <f t="shared" si="59"/>
        <v>0</v>
      </c>
      <c r="P228">
        <f t="shared" si="60"/>
        <v>0</v>
      </c>
      <c r="R228">
        <f t="shared" si="62"/>
        <v>0</v>
      </c>
      <c r="S228">
        <f t="shared" si="63"/>
        <v>0</v>
      </c>
      <c r="T228">
        <f t="shared" si="64"/>
        <v>0</v>
      </c>
      <c r="U228">
        <f t="shared" si="65"/>
        <v>0</v>
      </c>
    </row>
    <row r="229" spans="15:21" x14ac:dyDescent="0.3">
      <c r="O229">
        <f t="shared" si="59"/>
        <v>0</v>
      </c>
      <c r="P229">
        <f t="shared" si="60"/>
        <v>0</v>
      </c>
      <c r="R229">
        <f t="shared" si="62"/>
        <v>0</v>
      </c>
      <c r="S229">
        <f t="shared" si="63"/>
        <v>0</v>
      </c>
      <c r="T229">
        <f t="shared" si="64"/>
        <v>0</v>
      </c>
      <c r="U229">
        <f t="shared" si="65"/>
        <v>0</v>
      </c>
    </row>
    <row r="230" spans="15:21" x14ac:dyDescent="0.3">
      <c r="O230">
        <f t="shared" si="59"/>
        <v>0</v>
      </c>
      <c r="P230">
        <f t="shared" si="60"/>
        <v>0</v>
      </c>
      <c r="R230">
        <f t="shared" si="62"/>
        <v>0</v>
      </c>
      <c r="S230">
        <f t="shared" si="63"/>
        <v>0</v>
      </c>
      <c r="T230">
        <f t="shared" si="64"/>
        <v>0</v>
      </c>
      <c r="U230">
        <f t="shared" si="65"/>
        <v>0</v>
      </c>
    </row>
    <row r="231" spans="15:21" x14ac:dyDescent="0.3">
      <c r="O231">
        <f t="shared" si="59"/>
        <v>0</v>
      </c>
      <c r="P231">
        <f t="shared" si="60"/>
        <v>0</v>
      </c>
      <c r="R231">
        <f t="shared" si="62"/>
        <v>0</v>
      </c>
      <c r="S231">
        <f t="shared" si="63"/>
        <v>0</v>
      </c>
      <c r="T231">
        <f t="shared" si="64"/>
        <v>0</v>
      </c>
      <c r="U231">
        <f t="shared" si="65"/>
        <v>0</v>
      </c>
    </row>
    <row r="232" spans="15:21" x14ac:dyDescent="0.3">
      <c r="O232">
        <f t="shared" si="59"/>
        <v>0</v>
      </c>
      <c r="P232">
        <f t="shared" si="60"/>
        <v>0</v>
      </c>
      <c r="R232">
        <f t="shared" si="62"/>
        <v>0</v>
      </c>
      <c r="S232">
        <f t="shared" si="63"/>
        <v>0</v>
      </c>
      <c r="T232">
        <f t="shared" si="64"/>
        <v>0</v>
      </c>
      <c r="U232">
        <f t="shared" si="65"/>
        <v>0</v>
      </c>
    </row>
    <row r="233" spans="15:21" x14ac:dyDescent="0.3">
      <c r="O233">
        <f t="shared" si="59"/>
        <v>0</v>
      </c>
      <c r="P233">
        <f t="shared" si="60"/>
        <v>0</v>
      </c>
      <c r="R233">
        <f t="shared" si="62"/>
        <v>0</v>
      </c>
      <c r="S233">
        <f t="shared" si="63"/>
        <v>0</v>
      </c>
      <c r="T233">
        <f t="shared" si="64"/>
        <v>0</v>
      </c>
      <c r="U233">
        <f t="shared" si="65"/>
        <v>0</v>
      </c>
    </row>
    <row r="234" spans="15:21" x14ac:dyDescent="0.3">
      <c r="O234">
        <f t="shared" si="59"/>
        <v>0</v>
      </c>
      <c r="P234">
        <f t="shared" si="60"/>
        <v>0</v>
      </c>
      <c r="R234">
        <f t="shared" si="62"/>
        <v>0</v>
      </c>
      <c r="S234">
        <f t="shared" si="63"/>
        <v>0</v>
      </c>
      <c r="T234">
        <f t="shared" si="64"/>
        <v>0</v>
      </c>
      <c r="U234">
        <f t="shared" si="65"/>
        <v>0</v>
      </c>
    </row>
    <row r="235" spans="15:21" x14ac:dyDescent="0.3">
      <c r="O235">
        <f t="shared" si="59"/>
        <v>0</v>
      </c>
      <c r="P235">
        <f t="shared" si="60"/>
        <v>0</v>
      </c>
      <c r="R235">
        <f t="shared" si="62"/>
        <v>0</v>
      </c>
      <c r="S235">
        <f t="shared" si="63"/>
        <v>0</v>
      </c>
      <c r="T235">
        <f t="shared" si="64"/>
        <v>0</v>
      </c>
      <c r="U235">
        <f t="shared" si="65"/>
        <v>0</v>
      </c>
    </row>
    <row r="236" spans="15:21" x14ac:dyDescent="0.3">
      <c r="O236">
        <f t="shared" si="59"/>
        <v>0</v>
      </c>
      <c r="P236">
        <f t="shared" si="60"/>
        <v>0</v>
      </c>
      <c r="R236">
        <f t="shared" si="62"/>
        <v>0</v>
      </c>
      <c r="S236">
        <f t="shared" si="63"/>
        <v>0</v>
      </c>
      <c r="T236">
        <f t="shared" si="64"/>
        <v>0</v>
      </c>
      <c r="U236">
        <f t="shared" si="65"/>
        <v>0</v>
      </c>
    </row>
    <row r="237" spans="15:21" x14ac:dyDescent="0.3">
      <c r="O237">
        <f t="shared" si="59"/>
        <v>0</v>
      </c>
      <c r="P237">
        <f t="shared" si="60"/>
        <v>0</v>
      </c>
      <c r="R237">
        <f t="shared" si="62"/>
        <v>0</v>
      </c>
      <c r="S237">
        <f t="shared" si="63"/>
        <v>0</v>
      </c>
      <c r="T237">
        <f t="shared" si="64"/>
        <v>0</v>
      </c>
      <c r="U237">
        <f t="shared" si="65"/>
        <v>0</v>
      </c>
    </row>
    <row r="238" spans="15:21" x14ac:dyDescent="0.3">
      <c r="O238">
        <f t="shared" si="59"/>
        <v>0</v>
      </c>
      <c r="P238">
        <f t="shared" si="60"/>
        <v>0</v>
      </c>
      <c r="R238">
        <f t="shared" si="62"/>
        <v>0</v>
      </c>
      <c r="S238">
        <f t="shared" si="63"/>
        <v>0</v>
      </c>
      <c r="T238">
        <f t="shared" si="64"/>
        <v>0</v>
      </c>
      <c r="U238">
        <f t="shared" si="65"/>
        <v>0</v>
      </c>
    </row>
    <row r="239" spans="15:21" x14ac:dyDescent="0.3">
      <c r="O239">
        <f t="shared" si="59"/>
        <v>0</v>
      </c>
      <c r="P239">
        <f t="shared" si="60"/>
        <v>0</v>
      </c>
      <c r="R239">
        <f t="shared" si="62"/>
        <v>0</v>
      </c>
      <c r="S239">
        <f t="shared" si="63"/>
        <v>0</v>
      </c>
      <c r="T239">
        <f t="shared" si="64"/>
        <v>0</v>
      </c>
      <c r="U239">
        <f t="shared" si="65"/>
        <v>0</v>
      </c>
    </row>
    <row r="240" spans="15:21" x14ac:dyDescent="0.3">
      <c r="O240">
        <f t="shared" si="59"/>
        <v>0</v>
      </c>
      <c r="P240">
        <f t="shared" si="60"/>
        <v>0</v>
      </c>
      <c r="R240">
        <f t="shared" si="62"/>
        <v>0</v>
      </c>
      <c r="S240">
        <f t="shared" si="63"/>
        <v>0</v>
      </c>
      <c r="T240">
        <f t="shared" si="64"/>
        <v>0</v>
      </c>
      <c r="U240">
        <f t="shared" si="65"/>
        <v>0</v>
      </c>
    </row>
    <row r="241" spans="15:21" x14ac:dyDescent="0.3">
      <c r="O241">
        <f t="shared" si="59"/>
        <v>0</v>
      </c>
      <c r="P241">
        <f t="shared" si="60"/>
        <v>0</v>
      </c>
      <c r="R241">
        <f t="shared" si="62"/>
        <v>0</v>
      </c>
      <c r="S241">
        <f t="shared" si="63"/>
        <v>0</v>
      </c>
      <c r="T241">
        <f t="shared" si="64"/>
        <v>0</v>
      </c>
      <c r="U241">
        <f t="shared" si="65"/>
        <v>0</v>
      </c>
    </row>
    <row r="242" spans="15:21" x14ac:dyDescent="0.3">
      <c r="O242">
        <f t="shared" si="59"/>
        <v>0</v>
      </c>
      <c r="P242">
        <f t="shared" si="60"/>
        <v>0</v>
      </c>
      <c r="R242">
        <f t="shared" si="62"/>
        <v>0</v>
      </c>
      <c r="S242">
        <f t="shared" si="63"/>
        <v>0</v>
      </c>
      <c r="T242">
        <f t="shared" si="64"/>
        <v>0</v>
      </c>
      <c r="U242">
        <f t="shared" si="65"/>
        <v>0</v>
      </c>
    </row>
    <row r="243" spans="15:21" x14ac:dyDescent="0.3">
      <c r="O243">
        <f t="shared" si="59"/>
        <v>0</v>
      </c>
      <c r="P243">
        <f t="shared" si="60"/>
        <v>0</v>
      </c>
      <c r="R243">
        <f t="shared" si="62"/>
        <v>0</v>
      </c>
      <c r="S243">
        <f t="shared" si="63"/>
        <v>0</v>
      </c>
      <c r="T243">
        <f t="shared" si="64"/>
        <v>0</v>
      </c>
      <c r="U243">
        <f t="shared" si="65"/>
        <v>0</v>
      </c>
    </row>
    <row r="244" spans="15:21" x14ac:dyDescent="0.3">
      <c r="O244">
        <f t="shared" si="59"/>
        <v>0</v>
      </c>
      <c r="P244">
        <f t="shared" si="60"/>
        <v>0</v>
      </c>
      <c r="R244">
        <f t="shared" si="62"/>
        <v>0</v>
      </c>
      <c r="S244">
        <f t="shared" si="63"/>
        <v>0</v>
      </c>
      <c r="T244">
        <f t="shared" si="64"/>
        <v>0</v>
      </c>
      <c r="U244">
        <f t="shared" si="65"/>
        <v>0</v>
      </c>
    </row>
    <row r="245" spans="15:21" x14ac:dyDescent="0.3">
      <c r="O245">
        <f t="shared" si="59"/>
        <v>0</v>
      </c>
      <c r="P245">
        <f t="shared" si="60"/>
        <v>0</v>
      </c>
      <c r="R245">
        <f t="shared" si="62"/>
        <v>0</v>
      </c>
      <c r="S245">
        <f t="shared" si="63"/>
        <v>0</v>
      </c>
      <c r="T245">
        <f t="shared" si="64"/>
        <v>0</v>
      </c>
      <c r="U245">
        <f t="shared" si="65"/>
        <v>0</v>
      </c>
    </row>
    <row r="246" spans="15:21" x14ac:dyDescent="0.3">
      <c r="O246">
        <f t="shared" si="59"/>
        <v>0</v>
      </c>
      <c r="P246">
        <f t="shared" si="60"/>
        <v>0</v>
      </c>
      <c r="R246">
        <f t="shared" si="62"/>
        <v>0</v>
      </c>
      <c r="S246">
        <f t="shared" si="63"/>
        <v>0</v>
      </c>
      <c r="T246">
        <f t="shared" si="64"/>
        <v>0</v>
      </c>
      <c r="U246">
        <f t="shared" si="65"/>
        <v>0</v>
      </c>
    </row>
    <row r="247" spans="15:21" x14ac:dyDescent="0.3">
      <c r="O247">
        <f t="shared" si="59"/>
        <v>0</v>
      </c>
      <c r="P247">
        <f t="shared" si="60"/>
        <v>0</v>
      </c>
      <c r="R247">
        <f t="shared" si="62"/>
        <v>0</v>
      </c>
      <c r="S247">
        <f t="shared" si="63"/>
        <v>0</v>
      </c>
      <c r="T247">
        <f t="shared" si="64"/>
        <v>0</v>
      </c>
      <c r="U247">
        <f t="shared" si="65"/>
        <v>0</v>
      </c>
    </row>
    <row r="248" spans="15:21" x14ac:dyDescent="0.3">
      <c r="O248">
        <f t="shared" si="59"/>
        <v>0</v>
      </c>
      <c r="P248">
        <f t="shared" si="60"/>
        <v>0</v>
      </c>
      <c r="R248">
        <f t="shared" si="62"/>
        <v>0</v>
      </c>
      <c r="S248">
        <f t="shared" si="63"/>
        <v>0</v>
      </c>
      <c r="T248">
        <f t="shared" si="64"/>
        <v>0</v>
      </c>
      <c r="U248">
        <f t="shared" si="65"/>
        <v>0</v>
      </c>
    </row>
    <row r="249" spans="15:21" x14ac:dyDescent="0.3">
      <c r="O249">
        <f t="shared" si="59"/>
        <v>0</v>
      </c>
      <c r="P249">
        <f t="shared" si="60"/>
        <v>0</v>
      </c>
      <c r="R249">
        <f t="shared" si="62"/>
        <v>0</v>
      </c>
      <c r="S249">
        <f t="shared" si="63"/>
        <v>0</v>
      </c>
      <c r="T249">
        <f t="shared" si="64"/>
        <v>0</v>
      </c>
      <c r="U249">
        <f t="shared" si="65"/>
        <v>0</v>
      </c>
    </row>
    <row r="250" spans="15:21" x14ac:dyDescent="0.3">
      <c r="O250">
        <f t="shared" si="59"/>
        <v>0</v>
      </c>
      <c r="P250">
        <f t="shared" si="60"/>
        <v>0</v>
      </c>
      <c r="R250">
        <f t="shared" si="62"/>
        <v>0</v>
      </c>
      <c r="S250">
        <f t="shared" si="63"/>
        <v>0</v>
      </c>
      <c r="T250">
        <f t="shared" si="64"/>
        <v>0</v>
      </c>
      <c r="U250">
        <f t="shared" si="65"/>
        <v>0</v>
      </c>
    </row>
    <row r="251" spans="15:21" x14ac:dyDescent="0.3">
      <c r="O251">
        <f t="shared" si="59"/>
        <v>0</v>
      </c>
      <c r="P251">
        <f t="shared" si="60"/>
        <v>0</v>
      </c>
      <c r="R251">
        <f t="shared" si="62"/>
        <v>0</v>
      </c>
      <c r="S251">
        <f t="shared" si="63"/>
        <v>0</v>
      </c>
      <c r="T251">
        <f t="shared" si="64"/>
        <v>0</v>
      </c>
      <c r="U251">
        <f t="shared" si="65"/>
        <v>0</v>
      </c>
    </row>
    <row r="252" spans="15:21" x14ac:dyDescent="0.3">
      <c r="O252">
        <f t="shared" si="59"/>
        <v>0</v>
      </c>
      <c r="P252">
        <f t="shared" si="60"/>
        <v>0</v>
      </c>
      <c r="R252">
        <f t="shared" si="62"/>
        <v>0</v>
      </c>
      <c r="S252">
        <f t="shared" si="63"/>
        <v>0</v>
      </c>
      <c r="T252">
        <f t="shared" si="64"/>
        <v>0</v>
      </c>
      <c r="U252">
        <f t="shared" si="65"/>
        <v>0</v>
      </c>
    </row>
    <row r="253" spans="15:21" x14ac:dyDescent="0.3">
      <c r="O253">
        <f t="shared" si="59"/>
        <v>0</v>
      </c>
      <c r="P253">
        <f t="shared" si="60"/>
        <v>0</v>
      </c>
      <c r="R253">
        <f t="shared" si="62"/>
        <v>0</v>
      </c>
      <c r="S253">
        <f t="shared" si="63"/>
        <v>0</v>
      </c>
      <c r="T253">
        <f t="shared" si="64"/>
        <v>0</v>
      </c>
      <c r="U253">
        <f t="shared" si="65"/>
        <v>0</v>
      </c>
    </row>
    <row r="254" spans="15:21" x14ac:dyDescent="0.3">
      <c r="O254">
        <f t="shared" si="59"/>
        <v>0</v>
      </c>
      <c r="P254">
        <f t="shared" si="60"/>
        <v>0</v>
      </c>
      <c r="R254">
        <f t="shared" si="62"/>
        <v>0</v>
      </c>
      <c r="S254">
        <f t="shared" si="63"/>
        <v>0</v>
      </c>
      <c r="T254">
        <f t="shared" si="64"/>
        <v>0</v>
      </c>
      <c r="U254">
        <f t="shared" si="65"/>
        <v>0</v>
      </c>
    </row>
    <row r="255" spans="15:21" x14ac:dyDescent="0.3">
      <c r="O255">
        <f t="shared" si="59"/>
        <v>0</v>
      </c>
      <c r="P255">
        <f t="shared" si="60"/>
        <v>0</v>
      </c>
      <c r="R255">
        <f t="shared" si="62"/>
        <v>0</v>
      </c>
      <c r="S255">
        <f t="shared" si="63"/>
        <v>0</v>
      </c>
      <c r="T255">
        <f t="shared" si="64"/>
        <v>0</v>
      </c>
      <c r="U255">
        <f t="shared" si="65"/>
        <v>0</v>
      </c>
    </row>
    <row r="256" spans="15:21" x14ac:dyDescent="0.3">
      <c r="O256">
        <f t="shared" si="59"/>
        <v>0</v>
      </c>
      <c r="P256">
        <f t="shared" si="60"/>
        <v>0</v>
      </c>
      <c r="R256">
        <f t="shared" si="62"/>
        <v>0</v>
      </c>
      <c r="S256">
        <f t="shared" si="63"/>
        <v>0</v>
      </c>
      <c r="T256">
        <f t="shared" si="64"/>
        <v>0</v>
      </c>
      <c r="U256">
        <f t="shared" si="65"/>
        <v>0</v>
      </c>
    </row>
    <row r="257" spans="15:21" x14ac:dyDescent="0.3">
      <c r="O257">
        <f t="shared" si="59"/>
        <v>0</v>
      </c>
      <c r="P257">
        <f t="shared" si="60"/>
        <v>0</v>
      </c>
      <c r="R257">
        <f t="shared" si="62"/>
        <v>0</v>
      </c>
      <c r="S257">
        <f t="shared" si="63"/>
        <v>0</v>
      </c>
      <c r="T257">
        <f t="shared" si="64"/>
        <v>0</v>
      </c>
      <c r="U257">
        <f t="shared" si="65"/>
        <v>0</v>
      </c>
    </row>
    <row r="258" spans="15:21" x14ac:dyDescent="0.3">
      <c r="O258">
        <f t="shared" ref="O258:O269" si="69">SUM(N258:N262)</f>
        <v>0</v>
      </c>
      <c r="P258">
        <f t="shared" ref="P258:P269" si="70">SUM(N258:N267)</f>
        <v>0</v>
      </c>
      <c r="R258">
        <f t="shared" ref="R258:R269" si="71">SUM(E258:E267)/10</f>
        <v>0</v>
      </c>
      <c r="S258">
        <f t="shared" ref="S258:S269" si="72">R258-R259</f>
        <v>0</v>
      </c>
      <c r="T258">
        <f t="shared" ref="T258:T269" si="73">SUM(E258:E307)/50</f>
        <v>0</v>
      </c>
      <c r="U258">
        <f t="shared" ref="U258:U269" si="74">T258-T259</f>
        <v>0</v>
      </c>
    </row>
    <row r="259" spans="15:21" x14ac:dyDescent="0.3">
      <c r="O259">
        <f t="shared" si="69"/>
        <v>0</v>
      </c>
      <c r="P259">
        <f t="shared" si="70"/>
        <v>0</v>
      </c>
      <c r="R259">
        <f t="shared" si="71"/>
        <v>0</v>
      </c>
      <c r="S259">
        <f t="shared" si="72"/>
        <v>0</v>
      </c>
      <c r="T259">
        <f t="shared" si="73"/>
        <v>0</v>
      </c>
      <c r="U259">
        <f t="shared" si="74"/>
        <v>0</v>
      </c>
    </row>
    <row r="260" spans="15:21" x14ac:dyDescent="0.3">
      <c r="O260">
        <f t="shared" si="69"/>
        <v>0</v>
      </c>
      <c r="P260">
        <f t="shared" si="70"/>
        <v>0</v>
      </c>
      <c r="R260">
        <f t="shared" si="71"/>
        <v>0</v>
      </c>
      <c r="S260">
        <f t="shared" si="72"/>
        <v>0</v>
      </c>
      <c r="T260">
        <f t="shared" si="73"/>
        <v>0</v>
      </c>
      <c r="U260">
        <f t="shared" si="74"/>
        <v>0</v>
      </c>
    </row>
    <row r="261" spans="15:21" x14ac:dyDescent="0.3">
      <c r="O261">
        <f t="shared" si="69"/>
        <v>0</v>
      </c>
      <c r="P261">
        <f t="shared" si="70"/>
        <v>0</v>
      </c>
      <c r="R261">
        <f t="shared" si="71"/>
        <v>0</v>
      </c>
      <c r="S261">
        <f t="shared" si="72"/>
        <v>0</v>
      </c>
      <c r="T261">
        <f t="shared" si="73"/>
        <v>0</v>
      </c>
      <c r="U261">
        <f t="shared" si="74"/>
        <v>0</v>
      </c>
    </row>
    <row r="262" spans="15:21" x14ac:dyDescent="0.3">
      <c r="O262">
        <f t="shared" si="69"/>
        <v>0</v>
      </c>
      <c r="P262">
        <f t="shared" si="70"/>
        <v>0</v>
      </c>
      <c r="R262">
        <f t="shared" si="71"/>
        <v>0</v>
      </c>
      <c r="S262">
        <f t="shared" si="72"/>
        <v>0</v>
      </c>
      <c r="T262">
        <f t="shared" si="73"/>
        <v>0</v>
      </c>
      <c r="U262">
        <f t="shared" si="74"/>
        <v>0</v>
      </c>
    </row>
    <row r="263" spans="15:21" x14ac:dyDescent="0.3">
      <c r="O263">
        <f t="shared" si="69"/>
        <v>0</v>
      </c>
      <c r="P263">
        <f t="shared" si="70"/>
        <v>0</v>
      </c>
      <c r="R263">
        <f t="shared" si="71"/>
        <v>0</v>
      </c>
      <c r="S263">
        <f t="shared" si="72"/>
        <v>0</v>
      </c>
      <c r="T263">
        <f t="shared" si="73"/>
        <v>0</v>
      </c>
      <c r="U263">
        <f t="shared" si="74"/>
        <v>0</v>
      </c>
    </row>
    <row r="264" spans="15:21" x14ac:dyDescent="0.3">
      <c r="O264">
        <f t="shared" si="69"/>
        <v>0</v>
      </c>
      <c r="P264">
        <f t="shared" si="70"/>
        <v>0</v>
      </c>
      <c r="R264">
        <f t="shared" si="71"/>
        <v>0</v>
      </c>
      <c r="S264">
        <f t="shared" si="72"/>
        <v>0</v>
      </c>
      <c r="T264">
        <f t="shared" si="73"/>
        <v>0</v>
      </c>
      <c r="U264">
        <f t="shared" si="74"/>
        <v>0</v>
      </c>
    </row>
    <row r="265" spans="15:21" x14ac:dyDescent="0.3">
      <c r="O265">
        <f t="shared" si="69"/>
        <v>0</v>
      </c>
      <c r="P265">
        <f t="shared" si="70"/>
        <v>0</v>
      </c>
      <c r="R265">
        <f t="shared" si="71"/>
        <v>0</v>
      </c>
      <c r="S265">
        <f t="shared" si="72"/>
        <v>0</v>
      </c>
      <c r="T265">
        <f t="shared" si="73"/>
        <v>0</v>
      </c>
      <c r="U265">
        <f t="shared" si="74"/>
        <v>0</v>
      </c>
    </row>
    <row r="266" spans="15:21" x14ac:dyDescent="0.3">
      <c r="O266">
        <f t="shared" si="69"/>
        <v>0</v>
      </c>
      <c r="P266">
        <f t="shared" si="70"/>
        <v>0</v>
      </c>
      <c r="R266">
        <f t="shared" si="71"/>
        <v>0</v>
      </c>
      <c r="S266">
        <f t="shared" si="72"/>
        <v>0</v>
      </c>
      <c r="T266">
        <f t="shared" si="73"/>
        <v>0</v>
      </c>
      <c r="U266">
        <f t="shared" si="74"/>
        <v>0</v>
      </c>
    </row>
    <row r="267" spans="15:21" x14ac:dyDescent="0.3">
      <c r="O267">
        <f t="shared" si="69"/>
        <v>0</v>
      </c>
      <c r="P267">
        <f t="shared" si="70"/>
        <v>0</v>
      </c>
      <c r="R267">
        <f t="shared" si="71"/>
        <v>0</v>
      </c>
      <c r="S267">
        <f t="shared" si="72"/>
        <v>0</v>
      </c>
      <c r="T267">
        <f t="shared" si="73"/>
        <v>0</v>
      </c>
      <c r="U267">
        <f t="shared" si="74"/>
        <v>0</v>
      </c>
    </row>
    <row r="268" spans="15:21" x14ac:dyDescent="0.3">
      <c r="O268">
        <f t="shared" si="69"/>
        <v>0</v>
      </c>
      <c r="P268">
        <f t="shared" si="70"/>
        <v>0</v>
      </c>
      <c r="R268">
        <f t="shared" si="71"/>
        <v>0</v>
      </c>
      <c r="S268">
        <f t="shared" si="72"/>
        <v>0</v>
      </c>
      <c r="T268">
        <f t="shared" si="73"/>
        <v>0</v>
      </c>
      <c r="U268">
        <f t="shared" si="74"/>
        <v>0</v>
      </c>
    </row>
    <row r="269" spans="15:21" x14ac:dyDescent="0.3">
      <c r="O269">
        <f t="shared" si="69"/>
        <v>0</v>
      </c>
      <c r="P269">
        <f t="shared" si="70"/>
        <v>0</v>
      </c>
      <c r="R269">
        <f t="shared" si="71"/>
        <v>0</v>
      </c>
      <c r="S269">
        <f t="shared" si="72"/>
        <v>0</v>
      </c>
      <c r="T269">
        <f t="shared" si="73"/>
        <v>0</v>
      </c>
      <c r="U269">
        <f t="shared" si="74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69"/>
  <sheetViews>
    <sheetView topLeftCell="C59" workbookViewId="0">
      <selection activeCell="H72" sqref="H72:X201"/>
    </sheetView>
  </sheetViews>
  <sheetFormatPr defaultRowHeight="14.4" x14ac:dyDescent="0.3"/>
  <cols>
    <col min="8" max="8" width="10.88671875" bestFit="1" customWidth="1"/>
    <col min="10" max="10" width="9.88671875" bestFit="1" customWidth="1"/>
    <col min="14" max="14" width="12.109375" customWidth="1"/>
    <col min="23" max="23" width="11.88671875" customWidth="1"/>
  </cols>
  <sheetData>
    <row r="1" spans="1:25" x14ac:dyDescent="0.3">
      <c r="A1" t="s">
        <v>84</v>
      </c>
      <c r="B1">
        <v>1497.5</v>
      </c>
      <c r="C1">
        <v>1501.9</v>
      </c>
      <c r="D1">
        <v>1495.4</v>
      </c>
      <c r="E1">
        <v>1501.9</v>
      </c>
      <c r="F1">
        <v>214486</v>
      </c>
      <c r="G1">
        <v>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</row>
    <row r="2" spans="1:25" x14ac:dyDescent="0.3">
      <c r="A2" t="s">
        <v>29</v>
      </c>
      <c r="B2">
        <v>1492.9</v>
      </c>
      <c r="C2">
        <v>1500</v>
      </c>
      <c r="D2">
        <v>1492.3</v>
      </c>
      <c r="E2">
        <v>1497.5</v>
      </c>
      <c r="F2">
        <v>302662</v>
      </c>
      <c r="G2">
        <v>0</v>
      </c>
      <c r="H2">
        <f t="shared" ref="H2:H65" si="0">E3</f>
        <v>1493.1</v>
      </c>
      <c r="I2">
        <f t="shared" ref="I2:I65" si="1">MAX(C2,H2)</f>
        <v>1500</v>
      </c>
      <c r="J2">
        <f t="shared" ref="J2:J65" si="2">MIN(D2,H2)</f>
        <v>1492.3</v>
      </c>
      <c r="K2">
        <f t="shared" ref="K2:K65" si="3">I2-J2</f>
        <v>7.7000000000000455</v>
      </c>
      <c r="L2">
        <f t="shared" ref="L2:L65" si="4">B2-E3</f>
        <v>-0.1999999999998181</v>
      </c>
      <c r="M2" t="str">
        <f t="shared" ref="M2:M65" si="5">IF(E2&gt;E3,"UP","DOWN")</f>
        <v>UP</v>
      </c>
      <c r="N2">
        <f t="shared" ref="N2:N65" si="6">E2-E3</f>
        <v>4.4000000000000909</v>
      </c>
      <c r="O2">
        <f t="shared" ref="O2:O65" si="7">SUM(N2:N6)</f>
        <v>17.400000000000091</v>
      </c>
      <c r="P2">
        <f t="shared" ref="P2:P65" si="8">SUM(N2:N11)</f>
        <v>22.599999999999909</v>
      </c>
      <c r="Q2">
        <f t="shared" ref="Q2:Q65" si="9">SUM(N2:N51)</f>
        <v>1497.5</v>
      </c>
      <c r="R2">
        <f t="shared" ref="R2:R65" si="10">SUM(E2:E11)/10</f>
        <v>1483.0899999999997</v>
      </c>
      <c r="S2">
        <f t="shared" ref="S2:S65" si="11">R2-R3</f>
        <v>2.2599999999999909</v>
      </c>
      <c r="T2">
        <f t="shared" ref="T2:T65" si="12">SUM(E2:E51)/50</f>
        <v>444.49799999999988</v>
      </c>
      <c r="U2">
        <f t="shared" ref="U2:U65" si="13">T2-T3</f>
        <v>29.949999999999989</v>
      </c>
      <c r="V2">
        <f t="shared" ref="V2:V65" si="14">SUM(E2:E101)/100</f>
        <v>222.24899999999994</v>
      </c>
      <c r="W2">
        <f t="shared" ref="W2:W65" si="15">V2-V3</f>
        <v>14.974999999999994</v>
      </c>
      <c r="X2">
        <f t="shared" ref="X2:X65" si="16">SUM(E2:E201)/200</f>
        <v>111.12449999999997</v>
      </c>
      <c r="Y2">
        <f t="shared" ref="Y2:Y39" si="17">X2-X3</f>
        <v>7.4874999999999972</v>
      </c>
    </row>
    <row r="3" spans="1:25" x14ac:dyDescent="0.3">
      <c r="A3" t="s">
        <v>32</v>
      </c>
      <c r="B3">
        <v>1481</v>
      </c>
      <c r="C3">
        <v>1495.6</v>
      </c>
      <c r="D3">
        <v>1481</v>
      </c>
      <c r="E3">
        <v>1493.1</v>
      </c>
      <c r="F3">
        <v>359617</v>
      </c>
      <c r="G3">
        <v>0</v>
      </c>
      <c r="H3">
        <f t="shared" si="0"/>
        <v>1481.1</v>
      </c>
      <c r="I3">
        <f t="shared" si="1"/>
        <v>1495.6</v>
      </c>
      <c r="J3">
        <f t="shared" si="2"/>
        <v>1481</v>
      </c>
      <c r="K3">
        <f t="shared" si="3"/>
        <v>14.599999999999909</v>
      </c>
      <c r="L3">
        <f t="shared" si="4"/>
        <v>-9.9999999999909051E-2</v>
      </c>
      <c r="M3" t="str">
        <f t="shared" si="5"/>
        <v>UP</v>
      </c>
      <c r="N3">
        <f t="shared" si="6"/>
        <v>12</v>
      </c>
      <c r="O3">
        <f t="shared" si="7"/>
        <v>12.299999999999955</v>
      </c>
      <c r="P3">
        <f t="shared" si="8"/>
        <v>13.199999999999818</v>
      </c>
      <c r="Q3">
        <f t="shared" si="9"/>
        <v>1493.1</v>
      </c>
      <c r="R3">
        <f t="shared" si="10"/>
        <v>1480.8299999999997</v>
      </c>
      <c r="S3">
        <f t="shared" si="11"/>
        <v>1.319999999999709</v>
      </c>
      <c r="T3">
        <f t="shared" si="12"/>
        <v>414.54799999999989</v>
      </c>
      <c r="U3">
        <f t="shared" si="13"/>
        <v>29.86199999999991</v>
      </c>
      <c r="V3">
        <f t="shared" si="14"/>
        <v>207.27399999999994</v>
      </c>
      <c r="W3">
        <f t="shared" si="15"/>
        <v>14.930999999999955</v>
      </c>
      <c r="X3">
        <f t="shared" si="16"/>
        <v>103.63699999999997</v>
      </c>
      <c r="Y3">
        <f t="shared" si="17"/>
        <v>7.4654999999999774</v>
      </c>
    </row>
    <row r="4" spans="1:25" x14ac:dyDescent="0.3">
      <c r="A4" t="s">
        <v>35</v>
      </c>
      <c r="B4">
        <v>1480.6</v>
      </c>
      <c r="C4">
        <v>1481.3</v>
      </c>
      <c r="D4">
        <v>1479.9</v>
      </c>
      <c r="E4">
        <v>1481.1</v>
      </c>
      <c r="F4">
        <v>82472</v>
      </c>
      <c r="G4">
        <v>0</v>
      </c>
      <c r="H4">
        <f t="shared" si="0"/>
        <v>1480.6</v>
      </c>
      <c r="I4">
        <f t="shared" si="1"/>
        <v>1481.3</v>
      </c>
      <c r="J4">
        <f t="shared" si="2"/>
        <v>1479.9</v>
      </c>
      <c r="K4">
        <f t="shared" si="3"/>
        <v>1.3999999999998636</v>
      </c>
      <c r="L4">
        <f t="shared" si="4"/>
        <v>0</v>
      </c>
      <c r="M4" t="str">
        <f t="shared" si="5"/>
        <v>UP</v>
      </c>
      <c r="N4">
        <f t="shared" si="6"/>
        <v>0.5</v>
      </c>
      <c r="O4">
        <f t="shared" si="7"/>
        <v>-0.3000000000001819</v>
      </c>
      <c r="P4">
        <f t="shared" si="8"/>
        <v>0.5</v>
      </c>
      <c r="Q4">
        <f t="shared" si="9"/>
        <v>1481.1</v>
      </c>
      <c r="R4">
        <f t="shared" si="10"/>
        <v>1479.51</v>
      </c>
      <c r="S4">
        <f t="shared" si="11"/>
        <v>4.9999999999954525E-2</v>
      </c>
      <c r="T4">
        <f t="shared" si="12"/>
        <v>384.68599999999998</v>
      </c>
      <c r="U4">
        <f t="shared" si="13"/>
        <v>29.621999999999957</v>
      </c>
      <c r="V4">
        <f t="shared" si="14"/>
        <v>192.34299999999999</v>
      </c>
      <c r="W4">
        <f t="shared" si="15"/>
        <v>14.810999999999979</v>
      </c>
      <c r="X4">
        <f t="shared" si="16"/>
        <v>96.171499999999995</v>
      </c>
      <c r="Y4">
        <f t="shared" si="17"/>
        <v>7.4054999999999893</v>
      </c>
    </row>
    <row r="5" spans="1:25" x14ac:dyDescent="0.3">
      <c r="A5" t="s">
        <v>38</v>
      </c>
      <c r="B5">
        <v>1479.9</v>
      </c>
      <c r="C5">
        <v>1481</v>
      </c>
      <c r="D5">
        <v>1479</v>
      </c>
      <c r="E5">
        <v>1480.6</v>
      </c>
      <c r="F5">
        <v>139115</v>
      </c>
      <c r="G5">
        <v>0</v>
      </c>
      <c r="H5">
        <f t="shared" si="0"/>
        <v>1479.9</v>
      </c>
      <c r="I5">
        <f t="shared" si="1"/>
        <v>1481</v>
      </c>
      <c r="J5">
        <f t="shared" si="2"/>
        <v>1479</v>
      </c>
      <c r="K5">
        <f t="shared" si="3"/>
        <v>2</v>
      </c>
      <c r="L5">
        <f t="shared" si="4"/>
        <v>0</v>
      </c>
      <c r="M5" t="str">
        <f t="shared" si="5"/>
        <v>UP</v>
      </c>
      <c r="N5">
        <f t="shared" si="6"/>
        <v>0.6999999999998181</v>
      </c>
      <c r="O5">
        <f t="shared" si="7"/>
        <v>1.1999999999998181</v>
      </c>
      <c r="P5">
        <f t="shared" si="8"/>
        <v>3.5999999999999091</v>
      </c>
      <c r="Q5">
        <f t="shared" si="9"/>
        <v>1480.6</v>
      </c>
      <c r="R5">
        <f t="shared" si="10"/>
        <v>1479.46</v>
      </c>
      <c r="S5">
        <f t="shared" si="11"/>
        <v>0.36000000000012733</v>
      </c>
      <c r="T5">
        <f t="shared" si="12"/>
        <v>355.06400000000002</v>
      </c>
      <c r="U5">
        <f t="shared" si="13"/>
        <v>29.612000000000023</v>
      </c>
      <c r="V5">
        <f t="shared" si="14"/>
        <v>177.53200000000001</v>
      </c>
      <c r="W5">
        <f t="shared" si="15"/>
        <v>14.806000000000012</v>
      </c>
      <c r="X5">
        <f t="shared" si="16"/>
        <v>88.766000000000005</v>
      </c>
      <c r="Y5">
        <f t="shared" si="17"/>
        <v>7.4030000000000058</v>
      </c>
    </row>
    <row r="6" spans="1:25" x14ac:dyDescent="0.3">
      <c r="A6" t="s">
        <v>41</v>
      </c>
      <c r="B6">
        <v>1480.1</v>
      </c>
      <c r="C6">
        <v>1480.7</v>
      </c>
      <c r="D6">
        <v>1477</v>
      </c>
      <c r="E6">
        <v>1479.9</v>
      </c>
      <c r="F6">
        <v>148619</v>
      </c>
      <c r="G6">
        <v>0</v>
      </c>
      <c r="H6">
        <f t="shared" si="0"/>
        <v>1480.1</v>
      </c>
      <c r="I6">
        <f t="shared" si="1"/>
        <v>1480.7</v>
      </c>
      <c r="J6">
        <f t="shared" si="2"/>
        <v>1477</v>
      </c>
      <c r="K6">
        <f t="shared" si="3"/>
        <v>3.7000000000000455</v>
      </c>
      <c r="L6">
        <f t="shared" si="4"/>
        <v>0</v>
      </c>
      <c r="M6" t="str">
        <f t="shared" si="5"/>
        <v>DOWN</v>
      </c>
      <c r="N6">
        <f t="shared" si="6"/>
        <v>-0.1999999999998181</v>
      </c>
      <c r="O6">
        <f t="shared" si="7"/>
        <v>2.9000000000000909</v>
      </c>
      <c r="P6">
        <f t="shared" si="8"/>
        <v>-1.6999999999998181</v>
      </c>
      <c r="Q6">
        <f t="shared" si="9"/>
        <v>1479.9</v>
      </c>
      <c r="R6">
        <f t="shared" si="10"/>
        <v>1479.1</v>
      </c>
      <c r="S6">
        <f t="shared" si="11"/>
        <v>-0.17000000000007276</v>
      </c>
      <c r="T6">
        <f t="shared" si="12"/>
        <v>325.452</v>
      </c>
      <c r="U6">
        <f t="shared" si="13"/>
        <v>29.598000000000013</v>
      </c>
      <c r="V6">
        <f t="shared" si="14"/>
        <v>162.726</v>
      </c>
      <c r="W6">
        <f t="shared" si="15"/>
        <v>14.799000000000007</v>
      </c>
      <c r="X6">
        <f t="shared" si="16"/>
        <v>81.363</v>
      </c>
      <c r="Y6">
        <f t="shared" si="17"/>
        <v>7.3995000000000033</v>
      </c>
    </row>
    <row r="7" spans="1:25" x14ac:dyDescent="0.3">
      <c r="A7" t="s">
        <v>44</v>
      </c>
      <c r="B7">
        <v>1480.7</v>
      </c>
      <c r="C7">
        <v>1481.2</v>
      </c>
      <c r="D7">
        <v>1479.9</v>
      </c>
      <c r="E7">
        <v>1480.1</v>
      </c>
      <c r="F7">
        <v>116184</v>
      </c>
      <c r="G7">
        <v>0</v>
      </c>
      <c r="H7">
        <f t="shared" si="0"/>
        <v>1480.8</v>
      </c>
      <c r="I7">
        <f t="shared" si="1"/>
        <v>1481.2</v>
      </c>
      <c r="J7">
        <f t="shared" si="2"/>
        <v>1479.9</v>
      </c>
      <c r="K7">
        <f t="shared" si="3"/>
        <v>1.2999999999999545</v>
      </c>
      <c r="L7">
        <f t="shared" si="4"/>
        <v>-9.9999999999909051E-2</v>
      </c>
      <c r="M7" t="str">
        <f t="shared" si="5"/>
        <v>DOWN</v>
      </c>
      <c r="N7">
        <f t="shared" si="6"/>
        <v>-0.70000000000004547</v>
      </c>
      <c r="O7">
        <f t="shared" si="7"/>
        <v>5.1999999999998181</v>
      </c>
      <c r="P7">
        <f t="shared" si="8"/>
        <v>1480.1</v>
      </c>
      <c r="Q7">
        <f t="shared" si="9"/>
        <v>1480.1</v>
      </c>
      <c r="R7">
        <f t="shared" si="10"/>
        <v>1479.27</v>
      </c>
      <c r="S7">
        <f t="shared" si="11"/>
        <v>148.01</v>
      </c>
      <c r="T7">
        <f t="shared" si="12"/>
        <v>295.85399999999998</v>
      </c>
      <c r="U7">
        <f t="shared" si="13"/>
        <v>29.601999999999975</v>
      </c>
      <c r="V7">
        <f t="shared" si="14"/>
        <v>147.92699999999999</v>
      </c>
      <c r="W7">
        <f t="shared" si="15"/>
        <v>14.800999999999988</v>
      </c>
      <c r="X7">
        <f t="shared" si="16"/>
        <v>73.963499999999996</v>
      </c>
      <c r="Y7">
        <f t="shared" si="17"/>
        <v>7.4004999999999939</v>
      </c>
    </row>
    <row r="8" spans="1:25" x14ac:dyDescent="0.3">
      <c r="A8" t="s">
        <v>47</v>
      </c>
      <c r="B8">
        <v>1481.8</v>
      </c>
      <c r="C8">
        <v>1482.7</v>
      </c>
      <c r="D8">
        <v>1479.1</v>
      </c>
      <c r="E8">
        <v>1480.8</v>
      </c>
      <c r="F8">
        <v>157788</v>
      </c>
      <c r="G8">
        <v>0</v>
      </c>
      <c r="H8">
        <f t="shared" si="0"/>
        <v>1481.4</v>
      </c>
      <c r="I8">
        <f t="shared" si="1"/>
        <v>1482.7</v>
      </c>
      <c r="J8">
        <f t="shared" si="2"/>
        <v>1479.1</v>
      </c>
      <c r="K8">
        <f t="shared" si="3"/>
        <v>3.6000000000001364</v>
      </c>
      <c r="L8">
        <f t="shared" si="4"/>
        <v>0.39999999999986358</v>
      </c>
      <c r="M8" t="str">
        <f t="shared" si="5"/>
        <v>DOWN</v>
      </c>
      <c r="N8">
        <f t="shared" si="6"/>
        <v>-0.60000000000013642</v>
      </c>
      <c r="O8">
        <f t="shared" si="7"/>
        <v>0.89999999999986358</v>
      </c>
      <c r="P8">
        <f t="shared" si="8"/>
        <v>1480.8</v>
      </c>
      <c r="Q8">
        <f t="shared" si="9"/>
        <v>1480.8</v>
      </c>
      <c r="R8">
        <f t="shared" si="10"/>
        <v>1331.26</v>
      </c>
      <c r="S8">
        <f t="shared" si="11"/>
        <v>148.07999999999993</v>
      </c>
      <c r="T8">
        <f t="shared" si="12"/>
        <v>266.25200000000001</v>
      </c>
      <c r="U8">
        <f t="shared" si="13"/>
        <v>29.615999999999985</v>
      </c>
      <c r="V8">
        <f t="shared" si="14"/>
        <v>133.126</v>
      </c>
      <c r="W8">
        <f t="shared" si="15"/>
        <v>14.807999999999993</v>
      </c>
      <c r="X8">
        <f t="shared" si="16"/>
        <v>66.563000000000002</v>
      </c>
      <c r="Y8">
        <f t="shared" si="17"/>
        <v>7.4039999999999964</v>
      </c>
    </row>
    <row r="9" spans="1:25" x14ac:dyDescent="0.3">
      <c r="A9" t="s">
        <v>50</v>
      </c>
      <c r="B9">
        <v>1479.5</v>
      </c>
      <c r="C9">
        <v>1483.9</v>
      </c>
      <c r="D9">
        <v>1478.9</v>
      </c>
      <c r="E9">
        <v>1481.4</v>
      </c>
      <c r="F9">
        <v>154947</v>
      </c>
      <c r="G9">
        <v>0</v>
      </c>
      <c r="H9">
        <f t="shared" si="0"/>
        <v>1479.4</v>
      </c>
      <c r="I9">
        <f t="shared" si="1"/>
        <v>1483.9</v>
      </c>
      <c r="J9">
        <f t="shared" si="2"/>
        <v>1478.9</v>
      </c>
      <c r="K9">
        <f t="shared" si="3"/>
        <v>5</v>
      </c>
      <c r="L9">
        <f t="shared" si="4"/>
        <v>9.9999999999909051E-2</v>
      </c>
      <c r="M9" t="str">
        <f t="shared" si="5"/>
        <v>UP</v>
      </c>
      <c r="N9">
        <f t="shared" si="6"/>
        <v>2</v>
      </c>
      <c r="O9">
        <f t="shared" si="7"/>
        <v>0.8000000000001819</v>
      </c>
      <c r="P9">
        <f t="shared" si="8"/>
        <v>1481.4</v>
      </c>
      <c r="Q9">
        <f t="shared" si="9"/>
        <v>1481.4</v>
      </c>
      <c r="R9">
        <f t="shared" si="10"/>
        <v>1183.18</v>
      </c>
      <c r="S9">
        <f t="shared" si="11"/>
        <v>148.13999999999987</v>
      </c>
      <c r="T9">
        <f t="shared" si="12"/>
        <v>236.63600000000002</v>
      </c>
      <c r="U9">
        <f t="shared" si="13"/>
        <v>29.627999999999986</v>
      </c>
      <c r="V9">
        <f t="shared" si="14"/>
        <v>118.31800000000001</v>
      </c>
      <c r="W9">
        <f t="shared" si="15"/>
        <v>14.813999999999993</v>
      </c>
      <c r="X9">
        <f t="shared" si="16"/>
        <v>59.159000000000006</v>
      </c>
      <c r="Y9">
        <f t="shared" si="17"/>
        <v>7.4069999999999965</v>
      </c>
    </row>
    <row r="10" spans="1:25" x14ac:dyDescent="0.3">
      <c r="A10" t="s">
        <v>53</v>
      </c>
      <c r="B10">
        <v>1476.7</v>
      </c>
      <c r="C10">
        <v>1479.5</v>
      </c>
      <c r="D10">
        <v>1475</v>
      </c>
      <c r="E10">
        <v>1479.4</v>
      </c>
      <c r="F10">
        <v>117275</v>
      </c>
      <c r="G10">
        <v>0</v>
      </c>
      <c r="H10">
        <f t="shared" si="0"/>
        <v>1477</v>
      </c>
      <c r="I10">
        <f t="shared" si="1"/>
        <v>1479.5</v>
      </c>
      <c r="J10">
        <f t="shared" si="2"/>
        <v>1475</v>
      </c>
      <c r="K10">
        <f t="shared" si="3"/>
        <v>4.5</v>
      </c>
      <c r="L10">
        <f t="shared" si="4"/>
        <v>-0.29999999999995453</v>
      </c>
      <c r="M10" t="str">
        <f t="shared" si="5"/>
        <v>UP</v>
      </c>
      <c r="N10">
        <f t="shared" si="6"/>
        <v>2.4000000000000909</v>
      </c>
      <c r="O10">
        <f t="shared" si="7"/>
        <v>2.4000000000000909</v>
      </c>
      <c r="P10">
        <f t="shared" si="8"/>
        <v>1479.4</v>
      </c>
      <c r="Q10">
        <f t="shared" si="9"/>
        <v>1479.4</v>
      </c>
      <c r="R10">
        <f t="shared" si="10"/>
        <v>1035.0400000000002</v>
      </c>
      <c r="S10">
        <f t="shared" si="11"/>
        <v>147.94000000000017</v>
      </c>
      <c r="T10">
        <f t="shared" si="12"/>
        <v>207.00800000000004</v>
      </c>
      <c r="U10">
        <f t="shared" si="13"/>
        <v>29.588000000000051</v>
      </c>
      <c r="V10">
        <f t="shared" si="14"/>
        <v>103.50400000000002</v>
      </c>
      <c r="W10">
        <f t="shared" si="15"/>
        <v>14.794000000000025</v>
      </c>
      <c r="X10">
        <f t="shared" si="16"/>
        <v>51.75200000000001</v>
      </c>
      <c r="Y10">
        <f t="shared" si="17"/>
        <v>7.3970000000000127</v>
      </c>
    </row>
    <row r="11" spans="1:25" x14ac:dyDescent="0.3">
      <c r="A11" t="s">
        <v>56</v>
      </c>
      <c r="B11">
        <v>1474.8</v>
      </c>
      <c r="C11">
        <v>1477</v>
      </c>
      <c r="D11">
        <v>1474.6</v>
      </c>
      <c r="E11">
        <v>1477</v>
      </c>
      <c r="F11">
        <v>90200</v>
      </c>
      <c r="G11">
        <v>0</v>
      </c>
      <c r="H11">
        <f t="shared" si="0"/>
        <v>1474.9</v>
      </c>
      <c r="I11">
        <f t="shared" si="1"/>
        <v>1477</v>
      </c>
      <c r="J11">
        <f t="shared" si="2"/>
        <v>1474.6</v>
      </c>
      <c r="K11">
        <f t="shared" si="3"/>
        <v>2.4000000000000909</v>
      </c>
      <c r="L11">
        <f t="shared" si="4"/>
        <v>-0.10000000000013642</v>
      </c>
      <c r="M11" t="str">
        <f t="shared" si="5"/>
        <v>UP</v>
      </c>
      <c r="N11">
        <f t="shared" si="6"/>
        <v>2.0999999999999091</v>
      </c>
      <c r="O11">
        <f t="shared" si="7"/>
        <v>-4.5999999999999091</v>
      </c>
      <c r="P11">
        <f t="shared" si="8"/>
        <v>1477</v>
      </c>
      <c r="Q11">
        <f t="shared" si="9"/>
        <v>1477</v>
      </c>
      <c r="R11">
        <f t="shared" si="10"/>
        <v>887.1</v>
      </c>
      <c r="S11">
        <f t="shared" si="11"/>
        <v>147.70000000000005</v>
      </c>
      <c r="T11">
        <f t="shared" si="12"/>
        <v>177.42</v>
      </c>
      <c r="U11">
        <f t="shared" si="13"/>
        <v>29.539999999999992</v>
      </c>
      <c r="V11">
        <f t="shared" si="14"/>
        <v>88.71</v>
      </c>
      <c r="W11">
        <f t="shared" si="15"/>
        <v>14.769999999999996</v>
      </c>
      <c r="X11">
        <f t="shared" si="16"/>
        <v>44.354999999999997</v>
      </c>
      <c r="Y11">
        <f t="shared" si="17"/>
        <v>7.384999999999998</v>
      </c>
    </row>
    <row r="12" spans="1:25" x14ac:dyDescent="0.3">
      <c r="A12" t="s">
        <v>59</v>
      </c>
      <c r="B12">
        <v>1479.9</v>
      </c>
      <c r="C12">
        <v>1480.4</v>
      </c>
      <c r="D12">
        <v>1474.1</v>
      </c>
      <c r="E12">
        <v>1474.9</v>
      </c>
      <c r="F12">
        <v>108567</v>
      </c>
      <c r="G12">
        <v>0</v>
      </c>
      <c r="H12">
        <f t="shared" si="0"/>
        <v>1479.9</v>
      </c>
      <c r="I12">
        <f t="shared" si="1"/>
        <v>1480.4</v>
      </c>
      <c r="J12">
        <f t="shared" si="2"/>
        <v>1474.1</v>
      </c>
      <c r="K12">
        <f t="shared" si="3"/>
        <v>6.3000000000001819</v>
      </c>
      <c r="L12">
        <f t="shared" si="4"/>
        <v>0</v>
      </c>
      <c r="M12" t="str">
        <f t="shared" si="5"/>
        <v>DOWN</v>
      </c>
      <c r="N12">
        <f t="shared" si="6"/>
        <v>-5</v>
      </c>
      <c r="O12">
        <f t="shared" si="7"/>
        <v>1474.9</v>
      </c>
      <c r="P12">
        <f t="shared" si="8"/>
        <v>1474.9</v>
      </c>
      <c r="Q12">
        <f t="shared" si="9"/>
        <v>1474.9</v>
      </c>
      <c r="R12">
        <f t="shared" si="10"/>
        <v>739.4</v>
      </c>
      <c r="S12">
        <f t="shared" si="11"/>
        <v>147.4899999999999</v>
      </c>
      <c r="T12">
        <f t="shared" si="12"/>
        <v>147.88</v>
      </c>
      <c r="U12">
        <f t="shared" si="13"/>
        <v>29.49799999999999</v>
      </c>
      <c r="V12">
        <f t="shared" si="14"/>
        <v>73.94</v>
      </c>
      <c r="W12">
        <f t="shared" si="15"/>
        <v>14.748999999999995</v>
      </c>
      <c r="X12">
        <f t="shared" si="16"/>
        <v>36.97</v>
      </c>
      <c r="Y12">
        <f t="shared" si="17"/>
        <v>7.3744999999999976</v>
      </c>
    </row>
    <row r="13" spans="1:25" x14ac:dyDescent="0.3">
      <c r="A13" t="s">
        <v>62</v>
      </c>
      <c r="B13">
        <v>1480</v>
      </c>
      <c r="C13">
        <v>1481.4</v>
      </c>
      <c r="D13">
        <v>1477.3</v>
      </c>
      <c r="E13">
        <v>1479.9</v>
      </c>
      <c r="F13">
        <v>95802</v>
      </c>
      <c r="G13">
        <v>0</v>
      </c>
      <c r="H13">
        <f t="shared" si="0"/>
        <v>1480.6</v>
      </c>
      <c r="I13">
        <f t="shared" si="1"/>
        <v>1481.4</v>
      </c>
      <c r="J13">
        <f t="shared" si="2"/>
        <v>1477.3</v>
      </c>
      <c r="K13">
        <f t="shared" si="3"/>
        <v>4.1000000000001364</v>
      </c>
      <c r="L13">
        <f t="shared" si="4"/>
        <v>-0.59999999999990905</v>
      </c>
      <c r="M13" t="str">
        <f t="shared" si="5"/>
        <v>DOWN</v>
      </c>
      <c r="N13">
        <f t="shared" si="6"/>
        <v>-0.6999999999998181</v>
      </c>
      <c r="O13">
        <f t="shared" si="7"/>
        <v>1479.9</v>
      </c>
      <c r="P13">
        <f t="shared" si="8"/>
        <v>1479.9</v>
      </c>
      <c r="Q13">
        <f t="shared" si="9"/>
        <v>1479.9</v>
      </c>
      <c r="R13">
        <f t="shared" si="10"/>
        <v>591.91000000000008</v>
      </c>
      <c r="S13">
        <f t="shared" si="11"/>
        <v>147.99000000000012</v>
      </c>
      <c r="T13">
        <f t="shared" si="12"/>
        <v>118.38200000000001</v>
      </c>
      <c r="U13">
        <f t="shared" si="13"/>
        <v>29.598000000000013</v>
      </c>
      <c r="V13">
        <f t="shared" si="14"/>
        <v>59.191000000000003</v>
      </c>
      <c r="W13">
        <f t="shared" si="15"/>
        <v>14.799000000000007</v>
      </c>
      <c r="X13">
        <f t="shared" si="16"/>
        <v>29.595500000000001</v>
      </c>
      <c r="Y13">
        <f t="shared" si="17"/>
        <v>7.3995000000000033</v>
      </c>
    </row>
    <row r="14" spans="1:25" x14ac:dyDescent="0.3">
      <c r="A14" t="s">
        <v>65</v>
      </c>
      <c r="B14">
        <v>1477</v>
      </c>
      <c r="C14">
        <v>1480.6</v>
      </c>
      <c r="D14">
        <v>1475.5</v>
      </c>
      <c r="E14">
        <v>1480.6</v>
      </c>
      <c r="F14">
        <v>112315</v>
      </c>
      <c r="G14">
        <v>0</v>
      </c>
      <c r="H14">
        <f t="shared" si="0"/>
        <v>1477</v>
      </c>
      <c r="I14">
        <f t="shared" si="1"/>
        <v>1480.6</v>
      </c>
      <c r="J14">
        <f t="shared" si="2"/>
        <v>1475.5</v>
      </c>
      <c r="K14">
        <f t="shared" si="3"/>
        <v>5.0999999999999091</v>
      </c>
      <c r="L14">
        <f t="shared" si="4"/>
        <v>0</v>
      </c>
      <c r="M14" t="str">
        <f t="shared" si="5"/>
        <v>UP</v>
      </c>
      <c r="N14">
        <f t="shared" si="6"/>
        <v>3.5999999999999091</v>
      </c>
      <c r="O14">
        <f t="shared" si="7"/>
        <v>1480.6</v>
      </c>
      <c r="P14">
        <f t="shared" si="8"/>
        <v>1480.6</v>
      </c>
      <c r="Q14">
        <f t="shared" si="9"/>
        <v>1480.6</v>
      </c>
      <c r="R14">
        <f t="shared" si="10"/>
        <v>443.91999999999996</v>
      </c>
      <c r="S14">
        <f t="shared" si="11"/>
        <v>148.05999999999995</v>
      </c>
      <c r="T14">
        <f t="shared" si="12"/>
        <v>88.783999999999992</v>
      </c>
      <c r="U14">
        <f t="shared" si="13"/>
        <v>29.611999999999995</v>
      </c>
      <c r="V14">
        <f t="shared" si="14"/>
        <v>44.391999999999996</v>
      </c>
      <c r="W14">
        <f t="shared" si="15"/>
        <v>14.805999999999997</v>
      </c>
      <c r="X14">
        <f t="shared" si="16"/>
        <v>22.195999999999998</v>
      </c>
      <c r="Y14">
        <f t="shared" si="17"/>
        <v>7.4029999999999987</v>
      </c>
    </row>
    <row r="15" spans="1:25" x14ac:dyDescent="0.3">
      <c r="A15" t="s">
        <v>68</v>
      </c>
      <c r="B15">
        <v>1481.3</v>
      </c>
      <c r="C15">
        <v>1485</v>
      </c>
      <c r="D15">
        <v>1475.1</v>
      </c>
      <c r="E15">
        <v>1477</v>
      </c>
      <c r="F15">
        <v>212356</v>
      </c>
      <c r="G15">
        <v>0</v>
      </c>
      <c r="H15">
        <f t="shared" si="0"/>
        <v>1481.6</v>
      </c>
      <c r="I15">
        <f t="shared" si="1"/>
        <v>1485</v>
      </c>
      <c r="J15">
        <f t="shared" si="2"/>
        <v>1475.1</v>
      </c>
      <c r="K15">
        <f t="shared" si="3"/>
        <v>9.9000000000000909</v>
      </c>
      <c r="L15">
        <f t="shared" si="4"/>
        <v>-0.29999999999995453</v>
      </c>
      <c r="M15" t="str">
        <f t="shared" si="5"/>
        <v>DOWN</v>
      </c>
      <c r="N15">
        <f t="shared" si="6"/>
        <v>-4.5999999999999091</v>
      </c>
      <c r="O15">
        <f t="shared" si="7"/>
        <v>1477</v>
      </c>
      <c r="P15">
        <f t="shared" si="8"/>
        <v>1477</v>
      </c>
      <c r="Q15">
        <f t="shared" si="9"/>
        <v>1477</v>
      </c>
      <c r="R15">
        <f t="shared" si="10"/>
        <v>295.86</v>
      </c>
      <c r="S15">
        <f t="shared" si="11"/>
        <v>147.70000000000002</v>
      </c>
      <c r="T15">
        <f t="shared" si="12"/>
        <v>59.171999999999997</v>
      </c>
      <c r="U15">
        <f t="shared" si="13"/>
        <v>29.54</v>
      </c>
      <c r="V15">
        <f t="shared" si="14"/>
        <v>29.585999999999999</v>
      </c>
      <c r="W15">
        <f t="shared" si="15"/>
        <v>14.77</v>
      </c>
      <c r="X15">
        <f t="shared" si="16"/>
        <v>14.792999999999999</v>
      </c>
      <c r="Y15">
        <f t="shared" si="17"/>
        <v>7.3849999999999998</v>
      </c>
    </row>
    <row r="16" spans="1:25" x14ac:dyDescent="0.3">
      <c r="A16" t="s">
        <v>71</v>
      </c>
      <c r="B16">
        <v>1482</v>
      </c>
      <c r="C16">
        <v>1487.6</v>
      </c>
      <c r="D16">
        <v>1476.1</v>
      </c>
      <c r="E16">
        <v>1481.6</v>
      </c>
      <c r="F16">
        <v>289198</v>
      </c>
      <c r="G16">
        <v>0</v>
      </c>
      <c r="H16">
        <f t="shared" si="0"/>
        <v>0</v>
      </c>
      <c r="I16">
        <f t="shared" si="1"/>
        <v>1487.6</v>
      </c>
      <c r="J16">
        <f t="shared" si="2"/>
        <v>0</v>
      </c>
      <c r="K16">
        <f t="shared" si="3"/>
        <v>1487.6</v>
      </c>
      <c r="L16">
        <f t="shared" si="4"/>
        <v>1482</v>
      </c>
      <c r="M16" t="str">
        <f t="shared" si="5"/>
        <v>UP</v>
      </c>
      <c r="N16">
        <f t="shared" si="6"/>
        <v>1481.6</v>
      </c>
      <c r="O16">
        <f t="shared" si="7"/>
        <v>1481.6</v>
      </c>
      <c r="P16">
        <f t="shared" si="8"/>
        <v>1481.6</v>
      </c>
      <c r="Q16">
        <f t="shared" si="9"/>
        <v>1481.6</v>
      </c>
      <c r="R16">
        <f t="shared" si="10"/>
        <v>148.16</v>
      </c>
      <c r="S16">
        <f t="shared" si="11"/>
        <v>148.16</v>
      </c>
      <c r="T16">
        <f t="shared" si="12"/>
        <v>29.631999999999998</v>
      </c>
      <c r="U16">
        <f t="shared" si="13"/>
        <v>29.631999999999998</v>
      </c>
      <c r="V16">
        <f t="shared" si="14"/>
        <v>14.815999999999999</v>
      </c>
      <c r="W16">
        <f t="shared" si="15"/>
        <v>14.815999999999999</v>
      </c>
      <c r="X16">
        <f t="shared" si="16"/>
        <v>7.4079999999999995</v>
      </c>
      <c r="Y16">
        <f t="shared" si="17"/>
        <v>7.4079999999999995</v>
      </c>
    </row>
    <row r="17" spans="8:25" x14ac:dyDescent="0.3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 t="str">
        <f t="shared" si="5"/>
        <v>DOWN</v>
      </c>
      <c r="N17">
        <f t="shared" si="6"/>
        <v>0</v>
      </c>
      <c r="O17">
        <f t="shared" si="7"/>
        <v>0</v>
      </c>
      <c r="P17">
        <f t="shared" si="8"/>
        <v>0</v>
      </c>
      <c r="Q17">
        <f t="shared" si="9"/>
        <v>0</v>
      </c>
      <c r="R17">
        <f t="shared" si="10"/>
        <v>0</v>
      </c>
      <c r="S17">
        <f t="shared" si="11"/>
        <v>0</v>
      </c>
      <c r="T17">
        <f t="shared" si="12"/>
        <v>0</v>
      </c>
      <c r="U17">
        <f t="shared" si="13"/>
        <v>0</v>
      </c>
      <c r="V17">
        <f t="shared" si="14"/>
        <v>0</v>
      </c>
      <c r="W17">
        <f t="shared" si="15"/>
        <v>0</v>
      </c>
      <c r="X17">
        <f t="shared" si="16"/>
        <v>0</v>
      </c>
      <c r="Y17">
        <f t="shared" si="17"/>
        <v>0</v>
      </c>
    </row>
    <row r="18" spans="8:25" x14ac:dyDescent="0.3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 t="str">
        <f t="shared" si="5"/>
        <v>DOWN</v>
      </c>
      <c r="N18">
        <f t="shared" si="6"/>
        <v>0</v>
      </c>
      <c r="O18">
        <f t="shared" si="7"/>
        <v>0</v>
      </c>
      <c r="P18">
        <f t="shared" si="8"/>
        <v>0</v>
      </c>
      <c r="Q18">
        <f t="shared" si="9"/>
        <v>0</v>
      </c>
      <c r="R18">
        <f t="shared" si="10"/>
        <v>0</v>
      </c>
      <c r="S18">
        <f t="shared" si="11"/>
        <v>0</v>
      </c>
      <c r="T18">
        <f t="shared" si="12"/>
        <v>0</v>
      </c>
      <c r="U18">
        <f t="shared" si="13"/>
        <v>0</v>
      </c>
      <c r="V18">
        <f t="shared" si="14"/>
        <v>0</v>
      </c>
      <c r="W18">
        <f t="shared" si="15"/>
        <v>0</v>
      </c>
      <c r="X18">
        <f t="shared" si="16"/>
        <v>0</v>
      </c>
      <c r="Y18">
        <f t="shared" si="17"/>
        <v>0</v>
      </c>
    </row>
    <row r="19" spans="8:25" x14ac:dyDescent="0.3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 t="str">
        <f t="shared" si="5"/>
        <v>DOWN</v>
      </c>
      <c r="N19">
        <f t="shared" si="6"/>
        <v>0</v>
      </c>
      <c r="O19">
        <f t="shared" si="7"/>
        <v>0</v>
      </c>
      <c r="P19">
        <f t="shared" si="8"/>
        <v>0</v>
      </c>
      <c r="Q19">
        <f t="shared" si="9"/>
        <v>0</v>
      </c>
      <c r="R19">
        <f t="shared" si="10"/>
        <v>0</v>
      </c>
      <c r="S19">
        <f t="shared" si="11"/>
        <v>0</v>
      </c>
      <c r="T19">
        <f t="shared" si="12"/>
        <v>0</v>
      </c>
      <c r="U19">
        <f t="shared" si="13"/>
        <v>0</v>
      </c>
      <c r="V19">
        <f t="shared" si="14"/>
        <v>0</v>
      </c>
      <c r="W19">
        <f t="shared" si="15"/>
        <v>0</v>
      </c>
      <c r="X19">
        <f t="shared" si="16"/>
        <v>0</v>
      </c>
      <c r="Y19">
        <f t="shared" si="17"/>
        <v>0</v>
      </c>
    </row>
    <row r="20" spans="8:25" x14ac:dyDescent="0.3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 t="str">
        <f t="shared" si="5"/>
        <v>DOWN</v>
      </c>
      <c r="N20">
        <f t="shared" si="6"/>
        <v>0</v>
      </c>
      <c r="O20">
        <f t="shared" si="7"/>
        <v>0</v>
      </c>
      <c r="P20">
        <f t="shared" si="8"/>
        <v>0</v>
      </c>
      <c r="Q20">
        <f t="shared" si="9"/>
        <v>0</v>
      </c>
      <c r="R20">
        <f t="shared" si="10"/>
        <v>0</v>
      </c>
      <c r="S20">
        <f t="shared" si="11"/>
        <v>0</v>
      </c>
      <c r="T20">
        <f t="shared" si="12"/>
        <v>0</v>
      </c>
      <c r="U20">
        <f t="shared" si="13"/>
        <v>0</v>
      </c>
      <c r="V20">
        <f t="shared" si="14"/>
        <v>0</v>
      </c>
      <c r="W20">
        <f t="shared" si="15"/>
        <v>0</v>
      </c>
      <c r="X20">
        <f t="shared" si="16"/>
        <v>0</v>
      </c>
      <c r="Y20">
        <f t="shared" si="17"/>
        <v>0</v>
      </c>
    </row>
    <row r="21" spans="8:25" x14ac:dyDescent="0.3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 t="str">
        <f t="shared" si="5"/>
        <v>DOWN</v>
      </c>
      <c r="N21">
        <f t="shared" si="6"/>
        <v>0</v>
      </c>
      <c r="O21">
        <f t="shared" si="7"/>
        <v>0</v>
      </c>
      <c r="P21">
        <f t="shared" si="8"/>
        <v>0</v>
      </c>
      <c r="Q21">
        <f t="shared" si="9"/>
        <v>0</v>
      </c>
      <c r="R21">
        <f t="shared" si="10"/>
        <v>0</v>
      </c>
      <c r="S21">
        <f t="shared" si="11"/>
        <v>0</v>
      </c>
      <c r="T21">
        <f t="shared" si="12"/>
        <v>0</v>
      </c>
      <c r="U21">
        <f t="shared" si="13"/>
        <v>0</v>
      </c>
      <c r="V21">
        <f t="shared" si="14"/>
        <v>0</v>
      </c>
      <c r="W21">
        <f t="shared" si="15"/>
        <v>0</v>
      </c>
      <c r="X21">
        <f t="shared" si="16"/>
        <v>0</v>
      </c>
      <c r="Y21">
        <f t="shared" si="17"/>
        <v>0</v>
      </c>
    </row>
    <row r="22" spans="8:25" x14ac:dyDescent="0.3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 t="str">
        <f t="shared" si="5"/>
        <v>DOWN</v>
      </c>
      <c r="N22">
        <f t="shared" si="6"/>
        <v>0</v>
      </c>
      <c r="O22">
        <f t="shared" si="7"/>
        <v>0</v>
      </c>
      <c r="P22">
        <f t="shared" si="8"/>
        <v>0</v>
      </c>
      <c r="Q22">
        <f t="shared" si="9"/>
        <v>0</v>
      </c>
      <c r="R22">
        <f t="shared" si="10"/>
        <v>0</v>
      </c>
      <c r="S22">
        <f t="shared" si="11"/>
        <v>0</v>
      </c>
      <c r="T22">
        <f t="shared" si="12"/>
        <v>0</v>
      </c>
      <c r="U22">
        <f t="shared" si="13"/>
        <v>0</v>
      </c>
      <c r="V22">
        <f t="shared" si="14"/>
        <v>0</v>
      </c>
      <c r="W22">
        <f t="shared" si="15"/>
        <v>0</v>
      </c>
      <c r="X22">
        <f t="shared" si="16"/>
        <v>0</v>
      </c>
      <c r="Y22">
        <f t="shared" si="17"/>
        <v>0</v>
      </c>
    </row>
    <row r="23" spans="8:25" x14ac:dyDescent="0.3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 t="str">
        <f t="shared" si="5"/>
        <v>DOWN</v>
      </c>
      <c r="N23">
        <f t="shared" si="6"/>
        <v>0</v>
      </c>
      <c r="O23">
        <f t="shared" si="7"/>
        <v>0</v>
      </c>
      <c r="P23">
        <f t="shared" si="8"/>
        <v>0</v>
      </c>
      <c r="Q23">
        <f t="shared" si="9"/>
        <v>0</v>
      </c>
      <c r="R23">
        <f t="shared" si="10"/>
        <v>0</v>
      </c>
      <c r="S23">
        <f t="shared" si="11"/>
        <v>0</v>
      </c>
      <c r="T23">
        <f t="shared" si="12"/>
        <v>0</v>
      </c>
      <c r="U23">
        <f t="shared" si="13"/>
        <v>0</v>
      </c>
      <c r="V23">
        <f t="shared" si="14"/>
        <v>0</v>
      </c>
      <c r="W23">
        <f t="shared" si="15"/>
        <v>0</v>
      </c>
      <c r="X23">
        <f t="shared" si="16"/>
        <v>0</v>
      </c>
      <c r="Y23">
        <f t="shared" si="17"/>
        <v>0</v>
      </c>
    </row>
    <row r="24" spans="8:25" x14ac:dyDescent="0.3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 t="str">
        <f t="shared" si="5"/>
        <v>DOWN</v>
      </c>
      <c r="N24">
        <f t="shared" si="6"/>
        <v>0</v>
      </c>
      <c r="O24">
        <f t="shared" si="7"/>
        <v>0</v>
      </c>
      <c r="P24">
        <f t="shared" si="8"/>
        <v>0</v>
      </c>
      <c r="Q24">
        <f t="shared" si="9"/>
        <v>0</v>
      </c>
      <c r="R24">
        <f t="shared" si="10"/>
        <v>0</v>
      </c>
      <c r="S24">
        <f t="shared" si="11"/>
        <v>0</v>
      </c>
      <c r="T24">
        <f t="shared" si="12"/>
        <v>0</v>
      </c>
      <c r="U24">
        <f t="shared" si="13"/>
        <v>0</v>
      </c>
      <c r="V24">
        <f t="shared" si="14"/>
        <v>0</v>
      </c>
      <c r="W24">
        <f t="shared" si="15"/>
        <v>0</v>
      </c>
      <c r="X24">
        <f t="shared" si="16"/>
        <v>0</v>
      </c>
      <c r="Y24">
        <f t="shared" si="17"/>
        <v>0</v>
      </c>
    </row>
    <row r="25" spans="8:25" x14ac:dyDescent="0.3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 t="str">
        <f t="shared" si="5"/>
        <v>DOWN</v>
      </c>
      <c r="N25">
        <f t="shared" si="6"/>
        <v>0</v>
      </c>
      <c r="O25">
        <f t="shared" si="7"/>
        <v>0</v>
      </c>
      <c r="P25">
        <f t="shared" si="8"/>
        <v>0</v>
      </c>
      <c r="Q25">
        <f t="shared" si="9"/>
        <v>0</v>
      </c>
      <c r="R25">
        <f t="shared" si="10"/>
        <v>0</v>
      </c>
      <c r="S25">
        <f t="shared" si="11"/>
        <v>0</v>
      </c>
      <c r="T25">
        <f t="shared" si="12"/>
        <v>0</v>
      </c>
      <c r="U25">
        <f t="shared" si="13"/>
        <v>0</v>
      </c>
      <c r="V25">
        <f t="shared" si="14"/>
        <v>0</v>
      </c>
      <c r="W25">
        <f t="shared" si="15"/>
        <v>0</v>
      </c>
      <c r="X25">
        <f t="shared" si="16"/>
        <v>0</v>
      </c>
      <c r="Y25">
        <f t="shared" si="17"/>
        <v>0</v>
      </c>
    </row>
    <row r="26" spans="8:25" x14ac:dyDescent="0.3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 t="str">
        <f t="shared" si="5"/>
        <v>DOWN</v>
      </c>
      <c r="N26">
        <f t="shared" si="6"/>
        <v>0</v>
      </c>
      <c r="O26">
        <f t="shared" si="7"/>
        <v>0</v>
      </c>
      <c r="P26">
        <f t="shared" si="8"/>
        <v>0</v>
      </c>
      <c r="Q26">
        <f t="shared" si="9"/>
        <v>0</v>
      </c>
      <c r="R26">
        <f t="shared" si="10"/>
        <v>0</v>
      </c>
      <c r="S26">
        <f t="shared" si="11"/>
        <v>0</v>
      </c>
      <c r="T26">
        <f t="shared" si="12"/>
        <v>0</v>
      </c>
      <c r="U26">
        <f t="shared" si="13"/>
        <v>0</v>
      </c>
      <c r="V26">
        <f t="shared" si="14"/>
        <v>0</v>
      </c>
      <c r="W26">
        <f t="shared" si="15"/>
        <v>0</v>
      </c>
      <c r="X26">
        <f t="shared" si="16"/>
        <v>0</v>
      </c>
      <c r="Y26">
        <f t="shared" si="17"/>
        <v>0</v>
      </c>
    </row>
    <row r="27" spans="8:25" x14ac:dyDescent="0.3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 t="str">
        <f t="shared" si="5"/>
        <v>DOWN</v>
      </c>
      <c r="N27">
        <f t="shared" si="6"/>
        <v>0</v>
      </c>
      <c r="O27">
        <f t="shared" si="7"/>
        <v>0</v>
      </c>
      <c r="P27">
        <f t="shared" si="8"/>
        <v>0</v>
      </c>
      <c r="Q27">
        <f t="shared" si="9"/>
        <v>0</v>
      </c>
      <c r="R27">
        <f t="shared" si="10"/>
        <v>0</v>
      </c>
      <c r="S27">
        <f t="shared" si="11"/>
        <v>0</v>
      </c>
      <c r="T27">
        <f t="shared" si="12"/>
        <v>0</v>
      </c>
      <c r="U27">
        <f t="shared" si="13"/>
        <v>0</v>
      </c>
      <c r="V27">
        <f t="shared" si="14"/>
        <v>0</v>
      </c>
      <c r="W27">
        <f t="shared" si="15"/>
        <v>0</v>
      </c>
      <c r="X27">
        <f t="shared" si="16"/>
        <v>0</v>
      </c>
      <c r="Y27">
        <f t="shared" si="17"/>
        <v>0</v>
      </c>
    </row>
    <row r="28" spans="8:25" x14ac:dyDescent="0.3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 t="str">
        <f t="shared" si="5"/>
        <v>DOWN</v>
      </c>
      <c r="N28">
        <f t="shared" si="6"/>
        <v>0</v>
      </c>
      <c r="O28">
        <f t="shared" si="7"/>
        <v>0</v>
      </c>
      <c r="P28">
        <f t="shared" si="8"/>
        <v>0</v>
      </c>
      <c r="Q28">
        <f t="shared" si="9"/>
        <v>0</v>
      </c>
      <c r="R28">
        <f t="shared" si="10"/>
        <v>0</v>
      </c>
      <c r="S28">
        <f t="shared" si="11"/>
        <v>0</v>
      </c>
      <c r="T28">
        <f t="shared" si="12"/>
        <v>0</v>
      </c>
      <c r="U28">
        <f t="shared" si="13"/>
        <v>0</v>
      </c>
      <c r="V28">
        <f t="shared" si="14"/>
        <v>0</v>
      </c>
      <c r="W28">
        <f t="shared" si="15"/>
        <v>0</v>
      </c>
      <c r="X28">
        <f t="shared" si="16"/>
        <v>0</v>
      </c>
      <c r="Y28">
        <f t="shared" si="17"/>
        <v>0</v>
      </c>
    </row>
    <row r="29" spans="8:25" x14ac:dyDescent="0.3"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4"/>
        <v>0</v>
      </c>
      <c r="M29" t="str">
        <f t="shared" si="5"/>
        <v>DOWN</v>
      </c>
      <c r="N29">
        <f t="shared" si="6"/>
        <v>0</v>
      </c>
      <c r="O29">
        <f t="shared" si="7"/>
        <v>0</v>
      </c>
      <c r="P29">
        <f t="shared" si="8"/>
        <v>0</v>
      </c>
      <c r="Q29">
        <f t="shared" si="9"/>
        <v>0</v>
      </c>
      <c r="R29">
        <f t="shared" si="10"/>
        <v>0</v>
      </c>
      <c r="S29">
        <f t="shared" si="11"/>
        <v>0</v>
      </c>
      <c r="T29">
        <f t="shared" si="12"/>
        <v>0</v>
      </c>
      <c r="U29">
        <f t="shared" si="13"/>
        <v>0</v>
      </c>
      <c r="V29">
        <f t="shared" si="14"/>
        <v>0</v>
      </c>
      <c r="W29">
        <f t="shared" si="15"/>
        <v>0</v>
      </c>
      <c r="X29">
        <f t="shared" si="16"/>
        <v>0</v>
      </c>
      <c r="Y29">
        <f t="shared" si="17"/>
        <v>0</v>
      </c>
    </row>
    <row r="30" spans="8:25" x14ac:dyDescent="0.3"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4"/>
        <v>0</v>
      </c>
      <c r="M30" t="str">
        <f t="shared" si="5"/>
        <v>DOWN</v>
      </c>
      <c r="N30">
        <f t="shared" si="6"/>
        <v>0</v>
      </c>
      <c r="O30">
        <f t="shared" si="7"/>
        <v>0</v>
      </c>
      <c r="P30">
        <f t="shared" si="8"/>
        <v>0</v>
      </c>
      <c r="Q30">
        <f t="shared" si="9"/>
        <v>0</v>
      </c>
      <c r="R30">
        <f t="shared" si="10"/>
        <v>0</v>
      </c>
      <c r="S30">
        <f t="shared" si="11"/>
        <v>0</v>
      </c>
      <c r="T30">
        <f t="shared" si="12"/>
        <v>0</v>
      </c>
      <c r="U30">
        <f t="shared" si="13"/>
        <v>0</v>
      </c>
      <c r="V30">
        <f t="shared" si="14"/>
        <v>0</v>
      </c>
      <c r="W30">
        <f t="shared" si="15"/>
        <v>0</v>
      </c>
      <c r="X30">
        <f t="shared" si="16"/>
        <v>0</v>
      </c>
      <c r="Y30">
        <f t="shared" si="17"/>
        <v>0</v>
      </c>
    </row>
    <row r="31" spans="8:25" x14ac:dyDescent="0.3"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4"/>
        <v>0</v>
      </c>
      <c r="M31" t="str">
        <f t="shared" si="5"/>
        <v>DOWN</v>
      </c>
      <c r="N31">
        <f t="shared" si="6"/>
        <v>0</v>
      </c>
      <c r="O31">
        <f t="shared" si="7"/>
        <v>0</v>
      </c>
      <c r="P31">
        <f t="shared" si="8"/>
        <v>0</v>
      </c>
      <c r="Q31">
        <f t="shared" si="9"/>
        <v>0</v>
      </c>
      <c r="R31">
        <f t="shared" si="10"/>
        <v>0</v>
      </c>
      <c r="S31">
        <f t="shared" si="11"/>
        <v>0</v>
      </c>
      <c r="T31">
        <f t="shared" si="12"/>
        <v>0</v>
      </c>
      <c r="U31">
        <f t="shared" si="13"/>
        <v>0</v>
      </c>
      <c r="V31">
        <f t="shared" si="14"/>
        <v>0</v>
      </c>
      <c r="W31">
        <f t="shared" si="15"/>
        <v>0</v>
      </c>
      <c r="X31">
        <f t="shared" si="16"/>
        <v>0</v>
      </c>
      <c r="Y31">
        <f t="shared" si="17"/>
        <v>0</v>
      </c>
    </row>
    <row r="32" spans="8:25" x14ac:dyDescent="0.3">
      <c r="H32">
        <f t="shared" si="0"/>
        <v>0</v>
      </c>
      <c r="I32">
        <f t="shared" si="1"/>
        <v>0</v>
      </c>
      <c r="J32">
        <f t="shared" si="2"/>
        <v>0</v>
      </c>
      <c r="K32">
        <f t="shared" si="3"/>
        <v>0</v>
      </c>
      <c r="L32">
        <f t="shared" si="4"/>
        <v>0</v>
      </c>
      <c r="M32" t="str">
        <f t="shared" si="5"/>
        <v>DOWN</v>
      </c>
      <c r="N32">
        <f t="shared" si="6"/>
        <v>0</v>
      </c>
      <c r="O32">
        <f t="shared" si="7"/>
        <v>0</v>
      </c>
      <c r="P32">
        <f t="shared" si="8"/>
        <v>0</v>
      </c>
      <c r="Q32">
        <f t="shared" si="9"/>
        <v>0</v>
      </c>
      <c r="R32">
        <f t="shared" si="10"/>
        <v>0</v>
      </c>
      <c r="S32">
        <f t="shared" si="11"/>
        <v>0</v>
      </c>
      <c r="T32">
        <f t="shared" si="12"/>
        <v>0</v>
      </c>
      <c r="U32">
        <f t="shared" si="13"/>
        <v>0</v>
      </c>
      <c r="V32">
        <f t="shared" si="14"/>
        <v>0</v>
      </c>
      <c r="W32">
        <f t="shared" si="15"/>
        <v>0</v>
      </c>
      <c r="X32">
        <f t="shared" si="16"/>
        <v>0</v>
      </c>
      <c r="Y32">
        <f t="shared" si="17"/>
        <v>0</v>
      </c>
    </row>
    <row r="33" spans="8:25" x14ac:dyDescent="0.3">
      <c r="H33">
        <f t="shared" si="0"/>
        <v>0</v>
      </c>
      <c r="I33">
        <f t="shared" si="1"/>
        <v>0</v>
      </c>
      <c r="J33">
        <f t="shared" si="2"/>
        <v>0</v>
      </c>
      <c r="K33">
        <f t="shared" si="3"/>
        <v>0</v>
      </c>
      <c r="L33">
        <f t="shared" si="4"/>
        <v>0</v>
      </c>
      <c r="M33" t="str">
        <f t="shared" si="5"/>
        <v>DOWN</v>
      </c>
      <c r="N33">
        <f t="shared" si="6"/>
        <v>0</v>
      </c>
      <c r="O33">
        <f t="shared" si="7"/>
        <v>0</v>
      </c>
      <c r="P33">
        <f t="shared" si="8"/>
        <v>0</v>
      </c>
      <c r="Q33">
        <f t="shared" si="9"/>
        <v>0</v>
      </c>
      <c r="R33">
        <f t="shared" si="10"/>
        <v>0</v>
      </c>
      <c r="S33">
        <f t="shared" si="11"/>
        <v>0</v>
      </c>
      <c r="T33">
        <f t="shared" si="12"/>
        <v>0</v>
      </c>
      <c r="U33">
        <f t="shared" si="13"/>
        <v>0</v>
      </c>
      <c r="V33">
        <f t="shared" si="14"/>
        <v>0</v>
      </c>
      <c r="W33">
        <f t="shared" si="15"/>
        <v>0</v>
      </c>
      <c r="X33">
        <f t="shared" si="16"/>
        <v>0</v>
      </c>
      <c r="Y33">
        <f t="shared" si="17"/>
        <v>0</v>
      </c>
    </row>
    <row r="34" spans="8:25" x14ac:dyDescent="0.3">
      <c r="H34">
        <f t="shared" si="0"/>
        <v>0</v>
      </c>
      <c r="I34">
        <f t="shared" si="1"/>
        <v>0</v>
      </c>
      <c r="J34">
        <f t="shared" si="2"/>
        <v>0</v>
      </c>
      <c r="K34">
        <f t="shared" si="3"/>
        <v>0</v>
      </c>
      <c r="L34">
        <f t="shared" si="4"/>
        <v>0</v>
      </c>
      <c r="M34" t="str">
        <f t="shared" si="5"/>
        <v>DOWN</v>
      </c>
      <c r="N34">
        <f t="shared" si="6"/>
        <v>0</v>
      </c>
      <c r="O34">
        <f t="shared" si="7"/>
        <v>0</v>
      </c>
      <c r="P34">
        <f t="shared" si="8"/>
        <v>0</v>
      </c>
      <c r="Q34">
        <f t="shared" si="9"/>
        <v>0</v>
      </c>
      <c r="R34">
        <f t="shared" si="10"/>
        <v>0</v>
      </c>
      <c r="S34">
        <f t="shared" si="11"/>
        <v>0</v>
      </c>
      <c r="T34">
        <f t="shared" si="12"/>
        <v>0</v>
      </c>
      <c r="U34">
        <f t="shared" si="13"/>
        <v>0</v>
      </c>
      <c r="V34">
        <f t="shared" si="14"/>
        <v>0</v>
      </c>
      <c r="W34">
        <f t="shared" si="15"/>
        <v>0</v>
      </c>
      <c r="X34">
        <f t="shared" si="16"/>
        <v>0</v>
      </c>
      <c r="Y34">
        <f t="shared" si="17"/>
        <v>0</v>
      </c>
    </row>
    <row r="35" spans="8:25" x14ac:dyDescent="0.3">
      <c r="H35">
        <f t="shared" si="0"/>
        <v>0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4"/>
        <v>0</v>
      </c>
      <c r="M35" t="str">
        <f t="shared" si="5"/>
        <v>DOWN</v>
      </c>
      <c r="N35">
        <f t="shared" si="6"/>
        <v>0</v>
      </c>
      <c r="O35">
        <f t="shared" si="7"/>
        <v>0</v>
      </c>
      <c r="P35">
        <f t="shared" si="8"/>
        <v>0</v>
      </c>
      <c r="Q35">
        <f t="shared" si="9"/>
        <v>0</v>
      </c>
      <c r="R35">
        <f t="shared" si="10"/>
        <v>0</v>
      </c>
      <c r="S35">
        <f t="shared" si="11"/>
        <v>0</v>
      </c>
      <c r="T35">
        <f t="shared" si="12"/>
        <v>0</v>
      </c>
      <c r="U35">
        <f t="shared" si="13"/>
        <v>0</v>
      </c>
      <c r="V35">
        <f t="shared" si="14"/>
        <v>0</v>
      </c>
      <c r="W35">
        <f t="shared" si="15"/>
        <v>0</v>
      </c>
      <c r="X35">
        <f t="shared" si="16"/>
        <v>0</v>
      </c>
      <c r="Y35">
        <f t="shared" si="17"/>
        <v>0</v>
      </c>
    </row>
    <row r="36" spans="8:25" x14ac:dyDescent="0.3">
      <c r="H36">
        <f t="shared" si="0"/>
        <v>0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4"/>
        <v>0</v>
      </c>
      <c r="M36" t="str">
        <f t="shared" si="5"/>
        <v>DOWN</v>
      </c>
      <c r="N36">
        <f t="shared" si="6"/>
        <v>0</v>
      </c>
      <c r="O36">
        <f t="shared" si="7"/>
        <v>0</v>
      </c>
      <c r="P36">
        <f t="shared" si="8"/>
        <v>0</v>
      </c>
      <c r="Q36">
        <f t="shared" si="9"/>
        <v>0</v>
      </c>
      <c r="R36">
        <f t="shared" si="10"/>
        <v>0</v>
      </c>
      <c r="S36">
        <f t="shared" si="11"/>
        <v>0</v>
      </c>
      <c r="T36">
        <f t="shared" si="12"/>
        <v>0</v>
      </c>
      <c r="U36">
        <f t="shared" si="13"/>
        <v>0</v>
      </c>
      <c r="V36">
        <f t="shared" si="14"/>
        <v>0</v>
      </c>
      <c r="W36">
        <f t="shared" si="15"/>
        <v>0</v>
      </c>
      <c r="X36">
        <f t="shared" si="16"/>
        <v>0</v>
      </c>
      <c r="Y36">
        <f t="shared" si="17"/>
        <v>0</v>
      </c>
    </row>
    <row r="37" spans="8:25" x14ac:dyDescent="0.3">
      <c r="H37">
        <f t="shared" si="0"/>
        <v>0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4"/>
        <v>0</v>
      </c>
      <c r="M37" t="str">
        <f t="shared" si="5"/>
        <v>DOWN</v>
      </c>
      <c r="N37">
        <f t="shared" si="6"/>
        <v>0</v>
      </c>
      <c r="O37">
        <f t="shared" si="7"/>
        <v>0</v>
      </c>
      <c r="P37">
        <f t="shared" si="8"/>
        <v>0</v>
      </c>
      <c r="Q37">
        <f t="shared" si="9"/>
        <v>0</v>
      </c>
      <c r="R37">
        <f t="shared" si="10"/>
        <v>0</v>
      </c>
      <c r="S37">
        <f t="shared" si="11"/>
        <v>0</v>
      </c>
      <c r="T37">
        <f t="shared" si="12"/>
        <v>0</v>
      </c>
      <c r="U37">
        <f t="shared" si="13"/>
        <v>0</v>
      </c>
      <c r="V37">
        <f t="shared" si="14"/>
        <v>0</v>
      </c>
      <c r="W37">
        <f t="shared" si="15"/>
        <v>0</v>
      </c>
      <c r="X37">
        <f t="shared" si="16"/>
        <v>0</v>
      </c>
      <c r="Y37">
        <f t="shared" si="17"/>
        <v>0</v>
      </c>
    </row>
    <row r="38" spans="8:25" x14ac:dyDescent="0.3">
      <c r="H38">
        <f t="shared" si="0"/>
        <v>0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4"/>
        <v>0</v>
      </c>
      <c r="M38" t="str">
        <f t="shared" si="5"/>
        <v>DOWN</v>
      </c>
      <c r="N38">
        <f t="shared" si="6"/>
        <v>0</v>
      </c>
      <c r="O38">
        <f t="shared" si="7"/>
        <v>0</v>
      </c>
      <c r="P38">
        <f t="shared" si="8"/>
        <v>0</v>
      </c>
      <c r="Q38">
        <f t="shared" si="9"/>
        <v>0</v>
      </c>
      <c r="R38">
        <f t="shared" si="10"/>
        <v>0</v>
      </c>
      <c r="S38">
        <f t="shared" si="11"/>
        <v>0</v>
      </c>
      <c r="T38">
        <f t="shared" si="12"/>
        <v>0</v>
      </c>
      <c r="U38">
        <f t="shared" si="13"/>
        <v>0</v>
      </c>
      <c r="V38">
        <f t="shared" si="14"/>
        <v>0</v>
      </c>
      <c r="W38">
        <f t="shared" si="15"/>
        <v>0</v>
      </c>
      <c r="X38">
        <f t="shared" si="16"/>
        <v>0</v>
      </c>
      <c r="Y38">
        <f t="shared" si="17"/>
        <v>0</v>
      </c>
    </row>
    <row r="39" spans="8:25" x14ac:dyDescent="0.3">
      <c r="H39">
        <f t="shared" si="0"/>
        <v>0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4"/>
        <v>0</v>
      </c>
      <c r="M39" t="str">
        <f t="shared" si="5"/>
        <v>DOWN</v>
      </c>
      <c r="N39">
        <f t="shared" si="6"/>
        <v>0</v>
      </c>
      <c r="O39">
        <f t="shared" si="7"/>
        <v>0</v>
      </c>
      <c r="P39">
        <f t="shared" si="8"/>
        <v>0</v>
      </c>
      <c r="Q39">
        <f t="shared" si="9"/>
        <v>0</v>
      </c>
      <c r="R39">
        <f t="shared" si="10"/>
        <v>0</v>
      </c>
      <c r="S39">
        <f t="shared" si="11"/>
        <v>0</v>
      </c>
      <c r="T39">
        <f t="shared" si="12"/>
        <v>0</v>
      </c>
      <c r="U39">
        <f t="shared" si="13"/>
        <v>0</v>
      </c>
      <c r="V39">
        <f t="shared" si="14"/>
        <v>0</v>
      </c>
      <c r="W39">
        <f t="shared" si="15"/>
        <v>0</v>
      </c>
      <c r="X39">
        <f t="shared" si="16"/>
        <v>0</v>
      </c>
      <c r="Y39">
        <f t="shared" si="17"/>
        <v>0</v>
      </c>
    </row>
    <row r="40" spans="8:25" x14ac:dyDescent="0.3">
      <c r="H40">
        <f t="shared" si="0"/>
        <v>0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4"/>
        <v>0</v>
      </c>
      <c r="M40" t="str">
        <f t="shared" si="5"/>
        <v>DOWN</v>
      </c>
      <c r="N40">
        <f t="shared" si="6"/>
        <v>0</v>
      </c>
      <c r="O40">
        <f t="shared" si="7"/>
        <v>0</v>
      </c>
      <c r="P40">
        <f t="shared" si="8"/>
        <v>0</v>
      </c>
      <c r="Q40">
        <f t="shared" si="9"/>
        <v>0</v>
      </c>
      <c r="R40">
        <f t="shared" si="10"/>
        <v>0</v>
      </c>
      <c r="S40">
        <f t="shared" si="11"/>
        <v>0</v>
      </c>
      <c r="T40">
        <f t="shared" si="12"/>
        <v>0</v>
      </c>
      <c r="U40">
        <f t="shared" si="13"/>
        <v>0</v>
      </c>
      <c r="V40">
        <f t="shared" si="14"/>
        <v>0</v>
      </c>
      <c r="W40">
        <f t="shared" si="15"/>
        <v>0</v>
      </c>
      <c r="X40">
        <f t="shared" si="16"/>
        <v>0</v>
      </c>
    </row>
    <row r="41" spans="8:25" x14ac:dyDescent="0.3">
      <c r="H41">
        <f t="shared" si="0"/>
        <v>0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4"/>
        <v>0</v>
      </c>
      <c r="M41" t="str">
        <f t="shared" si="5"/>
        <v>DOWN</v>
      </c>
      <c r="N41">
        <f t="shared" si="6"/>
        <v>0</v>
      </c>
      <c r="O41">
        <f t="shared" si="7"/>
        <v>0</v>
      </c>
      <c r="P41">
        <f t="shared" si="8"/>
        <v>0</v>
      </c>
      <c r="Q41">
        <f t="shared" si="9"/>
        <v>0</v>
      </c>
      <c r="R41">
        <f t="shared" si="10"/>
        <v>0</v>
      </c>
      <c r="S41">
        <f t="shared" si="11"/>
        <v>0</v>
      </c>
      <c r="T41">
        <f t="shared" si="12"/>
        <v>0</v>
      </c>
      <c r="U41">
        <f t="shared" si="13"/>
        <v>0</v>
      </c>
      <c r="V41">
        <f t="shared" si="14"/>
        <v>0</v>
      </c>
      <c r="W41">
        <f t="shared" si="15"/>
        <v>0</v>
      </c>
      <c r="X41">
        <f t="shared" si="16"/>
        <v>0</v>
      </c>
    </row>
    <row r="42" spans="8:25" x14ac:dyDescent="0.3"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4"/>
        <v>0</v>
      </c>
      <c r="M42" t="str">
        <f t="shared" si="5"/>
        <v>DOWN</v>
      </c>
      <c r="N42">
        <f t="shared" si="6"/>
        <v>0</v>
      </c>
      <c r="O42">
        <f t="shared" si="7"/>
        <v>0</v>
      </c>
      <c r="P42">
        <f t="shared" si="8"/>
        <v>0</v>
      </c>
      <c r="Q42">
        <f t="shared" si="9"/>
        <v>0</v>
      </c>
      <c r="R42">
        <f t="shared" si="10"/>
        <v>0</v>
      </c>
      <c r="S42">
        <f t="shared" si="11"/>
        <v>0</v>
      </c>
      <c r="T42">
        <f t="shared" si="12"/>
        <v>0</v>
      </c>
      <c r="U42">
        <f t="shared" si="13"/>
        <v>0</v>
      </c>
      <c r="V42">
        <f t="shared" si="14"/>
        <v>0</v>
      </c>
      <c r="W42">
        <f t="shared" si="15"/>
        <v>0</v>
      </c>
      <c r="X42">
        <f t="shared" si="16"/>
        <v>0</v>
      </c>
    </row>
    <row r="43" spans="8:25" x14ac:dyDescent="0.3">
      <c r="H43">
        <f t="shared" si="0"/>
        <v>0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4"/>
        <v>0</v>
      </c>
      <c r="M43" t="str">
        <f t="shared" si="5"/>
        <v>DOWN</v>
      </c>
      <c r="N43">
        <f t="shared" si="6"/>
        <v>0</v>
      </c>
      <c r="O43">
        <f t="shared" si="7"/>
        <v>0</v>
      </c>
      <c r="P43">
        <f t="shared" si="8"/>
        <v>0</v>
      </c>
      <c r="Q43">
        <f t="shared" si="9"/>
        <v>0</v>
      </c>
      <c r="R43">
        <f t="shared" si="10"/>
        <v>0</v>
      </c>
      <c r="S43">
        <f t="shared" si="11"/>
        <v>0</v>
      </c>
      <c r="T43">
        <f t="shared" si="12"/>
        <v>0</v>
      </c>
      <c r="U43">
        <f t="shared" si="13"/>
        <v>0</v>
      </c>
      <c r="V43">
        <f t="shared" si="14"/>
        <v>0</v>
      </c>
      <c r="W43">
        <f t="shared" si="15"/>
        <v>0</v>
      </c>
      <c r="X43">
        <f t="shared" si="16"/>
        <v>0</v>
      </c>
    </row>
    <row r="44" spans="8:25" x14ac:dyDescent="0.3">
      <c r="H44">
        <f t="shared" si="0"/>
        <v>0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4"/>
        <v>0</v>
      </c>
      <c r="M44" t="str">
        <f t="shared" si="5"/>
        <v>DOWN</v>
      </c>
      <c r="N44">
        <f t="shared" si="6"/>
        <v>0</v>
      </c>
      <c r="O44">
        <f t="shared" si="7"/>
        <v>0</v>
      </c>
      <c r="P44">
        <f t="shared" si="8"/>
        <v>0</v>
      </c>
      <c r="Q44">
        <f t="shared" si="9"/>
        <v>0</v>
      </c>
      <c r="R44">
        <f t="shared" si="10"/>
        <v>0</v>
      </c>
      <c r="S44">
        <f t="shared" si="11"/>
        <v>0</v>
      </c>
      <c r="T44">
        <f t="shared" si="12"/>
        <v>0</v>
      </c>
      <c r="U44">
        <f t="shared" si="13"/>
        <v>0</v>
      </c>
      <c r="V44">
        <f t="shared" si="14"/>
        <v>0</v>
      </c>
      <c r="W44">
        <f t="shared" si="15"/>
        <v>0</v>
      </c>
      <c r="X44">
        <f t="shared" si="16"/>
        <v>0</v>
      </c>
    </row>
    <row r="45" spans="8:25" x14ac:dyDescent="0.3">
      <c r="H45">
        <f t="shared" si="0"/>
        <v>0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4"/>
        <v>0</v>
      </c>
      <c r="M45" t="str">
        <f t="shared" si="5"/>
        <v>DOWN</v>
      </c>
      <c r="N45">
        <f t="shared" si="6"/>
        <v>0</v>
      </c>
      <c r="O45">
        <f t="shared" si="7"/>
        <v>0</v>
      </c>
      <c r="P45">
        <f t="shared" si="8"/>
        <v>0</v>
      </c>
      <c r="Q45">
        <f t="shared" si="9"/>
        <v>0</v>
      </c>
      <c r="R45">
        <f t="shared" si="10"/>
        <v>0</v>
      </c>
      <c r="S45">
        <f t="shared" si="11"/>
        <v>0</v>
      </c>
      <c r="T45">
        <f t="shared" si="12"/>
        <v>0</v>
      </c>
      <c r="U45">
        <f t="shared" si="13"/>
        <v>0</v>
      </c>
      <c r="V45">
        <f t="shared" si="14"/>
        <v>0</v>
      </c>
      <c r="W45">
        <f t="shared" si="15"/>
        <v>0</v>
      </c>
      <c r="X45">
        <f t="shared" si="16"/>
        <v>0</v>
      </c>
    </row>
    <row r="46" spans="8:25" x14ac:dyDescent="0.3">
      <c r="H46">
        <f t="shared" si="0"/>
        <v>0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4"/>
        <v>0</v>
      </c>
      <c r="M46" t="str">
        <f t="shared" si="5"/>
        <v>DOWN</v>
      </c>
      <c r="N46">
        <f t="shared" si="6"/>
        <v>0</v>
      </c>
      <c r="O46">
        <f t="shared" si="7"/>
        <v>0</v>
      </c>
      <c r="P46">
        <f t="shared" si="8"/>
        <v>0</v>
      </c>
      <c r="Q46">
        <f t="shared" si="9"/>
        <v>0</v>
      </c>
      <c r="R46">
        <f t="shared" si="10"/>
        <v>0</v>
      </c>
      <c r="S46">
        <f t="shared" si="11"/>
        <v>0</v>
      </c>
      <c r="T46">
        <f t="shared" si="12"/>
        <v>0</v>
      </c>
      <c r="U46">
        <f t="shared" si="13"/>
        <v>0</v>
      </c>
      <c r="V46">
        <f t="shared" si="14"/>
        <v>0</v>
      </c>
      <c r="W46">
        <f t="shared" si="15"/>
        <v>0</v>
      </c>
      <c r="X46">
        <f t="shared" si="16"/>
        <v>0</v>
      </c>
    </row>
    <row r="47" spans="8:25" x14ac:dyDescent="0.3">
      <c r="H47">
        <f t="shared" si="0"/>
        <v>0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4"/>
        <v>0</v>
      </c>
      <c r="M47" t="str">
        <f t="shared" si="5"/>
        <v>DOWN</v>
      </c>
      <c r="N47">
        <f t="shared" si="6"/>
        <v>0</v>
      </c>
      <c r="O47">
        <f t="shared" si="7"/>
        <v>0</v>
      </c>
      <c r="P47">
        <f t="shared" si="8"/>
        <v>0</v>
      </c>
      <c r="Q47">
        <f t="shared" si="9"/>
        <v>0</v>
      </c>
      <c r="R47">
        <f t="shared" si="10"/>
        <v>0</v>
      </c>
      <c r="S47">
        <f t="shared" si="11"/>
        <v>0</v>
      </c>
      <c r="T47">
        <f t="shared" si="12"/>
        <v>0</v>
      </c>
      <c r="U47">
        <f t="shared" si="13"/>
        <v>0</v>
      </c>
      <c r="V47">
        <f t="shared" si="14"/>
        <v>0</v>
      </c>
      <c r="W47">
        <f t="shared" si="15"/>
        <v>0</v>
      </c>
      <c r="X47">
        <f t="shared" si="16"/>
        <v>0</v>
      </c>
    </row>
    <row r="48" spans="8:25" x14ac:dyDescent="0.3">
      <c r="H48">
        <f t="shared" si="0"/>
        <v>0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4"/>
        <v>0</v>
      </c>
      <c r="M48" t="str">
        <f t="shared" si="5"/>
        <v>DOWN</v>
      </c>
      <c r="N48">
        <f t="shared" si="6"/>
        <v>0</v>
      </c>
      <c r="O48">
        <f t="shared" si="7"/>
        <v>0</v>
      </c>
      <c r="P48">
        <f t="shared" si="8"/>
        <v>0</v>
      </c>
      <c r="Q48">
        <f t="shared" si="9"/>
        <v>0</v>
      </c>
      <c r="R48">
        <f t="shared" si="10"/>
        <v>0</v>
      </c>
      <c r="S48">
        <f t="shared" si="11"/>
        <v>0</v>
      </c>
      <c r="T48">
        <f t="shared" si="12"/>
        <v>0</v>
      </c>
      <c r="U48">
        <f t="shared" si="13"/>
        <v>0</v>
      </c>
      <c r="V48">
        <f t="shared" si="14"/>
        <v>0</v>
      </c>
      <c r="W48">
        <f t="shared" si="15"/>
        <v>0</v>
      </c>
      <c r="X48">
        <f t="shared" si="16"/>
        <v>0</v>
      </c>
    </row>
    <row r="49" spans="8:24" x14ac:dyDescent="0.3">
      <c r="H49">
        <f t="shared" si="0"/>
        <v>0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4"/>
        <v>0</v>
      </c>
      <c r="M49" t="str">
        <f t="shared" si="5"/>
        <v>DOWN</v>
      </c>
      <c r="N49">
        <f t="shared" si="6"/>
        <v>0</v>
      </c>
      <c r="O49">
        <f t="shared" si="7"/>
        <v>0</v>
      </c>
      <c r="P49">
        <f t="shared" si="8"/>
        <v>0</v>
      </c>
      <c r="Q49">
        <f t="shared" si="9"/>
        <v>0</v>
      </c>
      <c r="R49">
        <f t="shared" si="10"/>
        <v>0</v>
      </c>
      <c r="S49">
        <f t="shared" si="11"/>
        <v>0</v>
      </c>
      <c r="T49">
        <f t="shared" si="12"/>
        <v>0</v>
      </c>
      <c r="U49">
        <f t="shared" si="13"/>
        <v>0</v>
      </c>
      <c r="V49">
        <f t="shared" si="14"/>
        <v>0</v>
      </c>
      <c r="W49">
        <f t="shared" si="15"/>
        <v>0</v>
      </c>
      <c r="X49">
        <f t="shared" si="16"/>
        <v>0</v>
      </c>
    </row>
    <row r="50" spans="8:24" x14ac:dyDescent="0.3">
      <c r="H50">
        <f t="shared" si="0"/>
        <v>0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4"/>
        <v>0</v>
      </c>
      <c r="M50" t="str">
        <f t="shared" si="5"/>
        <v>DOWN</v>
      </c>
      <c r="N50">
        <f t="shared" si="6"/>
        <v>0</v>
      </c>
      <c r="O50">
        <f t="shared" si="7"/>
        <v>0</v>
      </c>
      <c r="P50">
        <f t="shared" si="8"/>
        <v>0</v>
      </c>
      <c r="Q50">
        <f t="shared" si="9"/>
        <v>0</v>
      </c>
      <c r="R50">
        <f t="shared" si="10"/>
        <v>0</v>
      </c>
      <c r="S50">
        <f t="shared" si="11"/>
        <v>0</v>
      </c>
      <c r="T50">
        <f t="shared" si="12"/>
        <v>0</v>
      </c>
      <c r="U50">
        <f t="shared" si="13"/>
        <v>0</v>
      </c>
      <c r="V50">
        <f t="shared" si="14"/>
        <v>0</v>
      </c>
      <c r="W50">
        <f t="shared" si="15"/>
        <v>0</v>
      </c>
      <c r="X50">
        <f t="shared" si="16"/>
        <v>0</v>
      </c>
    </row>
    <row r="51" spans="8:24" x14ac:dyDescent="0.3">
      <c r="H51">
        <f t="shared" si="0"/>
        <v>0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4"/>
        <v>0</v>
      </c>
      <c r="M51" t="str">
        <f t="shared" si="5"/>
        <v>DOWN</v>
      </c>
      <c r="N51">
        <f t="shared" si="6"/>
        <v>0</v>
      </c>
      <c r="O51">
        <f t="shared" si="7"/>
        <v>0</v>
      </c>
      <c r="P51">
        <f t="shared" si="8"/>
        <v>0</v>
      </c>
      <c r="Q51">
        <f t="shared" si="9"/>
        <v>0</v>
      </c>
      <c r="R51">
        <f t="shared" si="10"/>
        <v>0</v>
      </c>
      <c r="S51">
        <f t="shared" si="11"/>
        <v>0</v>
      </c>
      <c r="T51">
        <f t="shared" si="12"/>
        <v>0</v>
      </c>
      <c r="U51">
        <f t="shared" si="13"/>
        <v>0</v>
      </c>
      <c r="V51">
        <f t="shared" si="14"/>
        <v>0</v>
      </c>
      <c r="W51">
        <f t="shared" si="15"/>
        <v>0</v>
      </c>
      <c r="X51">
        <f t="shared" si="16"/>
        <v>0</v>
      </c>
    </row>
    <row r="52" spans="8:24" x14ac:dyDescent="0.3">
      <c r="H52">
        <f t="shared" si="0"/>
        <v>0</v>
      </c>
      <c r="I52">
        <f t="shared" si="1"/>
        <v>0</v>
      </c>
      <c r="J52">
        <f t="shared" si="2"/>
        <v>0</v>
      </c>
      <c r="K52">
        <f t="shared" si="3"/>
        <v>0</v>
      </c>
      <c r="L52">
        <f t="shared" si="4"/>
        <v>0</v>
      </c>
      <c r="M52" t="str">
        <f t="shared" si="5"/>
        <v>DOWN</v>
      </c>
      <c r="N52">
        <f t="shared" si="6"/>
        <v>0</v>
      </c>
      <c r="O52">
        <f t="shared" si="7"/>
        <v>0</v>
      </c>
      <c r="P52">
        <f t="shared" si="8"/>
        <v>0</v>
      </c>
      <c r="Q52">
        <f t="shared" si="9"/>
        <v>0</v>
      </c>
      <c r="R52">
        <f t="shared" si="10"/>
        <v>0</v>
      </c>
      <c r="S52">
        <f t="shared" si="11"/>
        <v>0</v>
      </c>
      <c r="T52">
        <f t="shared" si="12"/>
        <v>0</v>
      </c>
      <c r="U52">
        <f t="shared" si="13"/>
        <v>0</v>
      </c>
      <c r="V52">
        <f t="shared" si="14"/>
        <v>0</v>
      </c>
      <c r="W52">
        <f t="shared" si="15"/>
        <v>0</v>
      </c>
      <c r="X52">
        <f t="shared" si="16"/>
        <v>0</v>
      </c>
    </row>
    <row r="53" spans="8:24" x14ac:dyDescent="0.3"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0</v>
      </c>
      <c r="L53">
        <f t="shared" si="4"/>
        <v>0</v>
      </c>
      <c r="M53" t="str">
        <f t="shared" si="5"/>
        <v>DOWN</v>
      </c>
      <c r="N53">
        <f t="shared" si="6"/>
        <v>0</v>
      </c>
      <c r="O53">
        <f t="shared" si="7"/>
        <v>0</v>
      </c>
      <c r="P53">
        <f t="shared" si="8"/>
        <v>0</v>
      </c>
      <c r="Q53">
        <f t="shared" si="9"/>
        <v>0</v>
      </c>
      <c r="R53">
        <f t="shared" si="10"/>
        <v>0</v>
      </c>
      <c r="S53">
        <f t="shared" si="11"/>
        <v>0</v>
      </c>
      <c r="T53">
        <f t="shared" si="12"/>
        <v>0</v>
      </c>
      <c r="U53">
        <f t="shared" si="13"/>
        <v>0</v>
      </c>
      <c r="V53">
        <f t="shared" si="14"/>
        <v>0</v>
      </c>
      <c r="W53">
        <f t="shared" si="15"/>
        <v>0</v>
      </c>
      <c r="X53">
        <f t="shared" si="16"/>
        <v>0</v>
      </c>
    </row>
    <row r="54" spans="8:24" x14ac:dyDescent="0.3"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0</v>
      </c>
      <c r="L54">
        <f t="shared" si="4"/>
        <v>0</v>
      </c>
      <c r="M54" t="str">
        <f t="shared" si="5"/>
        <v>DOWN</v>
      </c>
      <c r="N54">
        <f t="shared" si="6"/>
        <v>0</v>
      </c>
      <c r="O54">
        <f t="shared" si="7"/>
        <v>0</v>
      </c>
      <c r="P54">
        <f t="shared" si="8"/>
        <v>0</v>
      </c>
      <c r="Q54">
        <f t="shared" si="9"/>
        <v>0</v>
      </c>
      <c r="R54">
        <f t="shared" si="10"/>
        <v>0</v>
      </c>
      <c r="S54">
        <f t="shared" si="11"/>
        <v>0</v>
      </c>
      <c r="T54">
        <f t="shared" si="12"/>
        <v>0</v>
      </c>
      <c r="U54">
        <f t="shared" si="13"/>
        <v>0</v>
      </c>
      <c r="V54">
        <f t="shared" si="14"/>
        <v>0</v>
      </c>
      <c r="W54">
        <f t="shared" si="15"/>
        <v>0</v>
      </c>
      <c r="X54">
        <f t="shared" si="16"/>
        <v>0</v>
      </c>
    </row>
    <row r="55" spans="8:24" x14ac:dyDescent="0.3"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0</v>
      </c>
      <c r="L55">
        <f t="shared" si="4"/>
        <v>0</v>
      </c>
      <c r="M55" t="str">
        <f t="shared" si="5"/>
        <v>DOWN</v>
      </c>
      <c r="N55">
        <f t="shared" si="6"/>
        <v>0</v>
      </c>
      <c r="O55">
        <f t="shared" si="7"/>
        <v>0</v>
      </c>
      <c r="P55">
        <f t="shared" si="8"/>
        <v>0</v>
      </c>
      <c r="Q55">
        <f t="shared" si="9"/>
        <v>0</v>
      </c>
      <c r="R55">
        <f t="shared" si="10"/>
        <v>0</v>
      </c>
      <c r="S55">
        <f t="shared" si="11"/>
        <v>0</v>
      </c>
      <c r="T55">
        <f t="shared" si="12"/>
        <v>0</v>
      </c>
      <c r="U55">
        <f t="shared" si="13"/>
        <v>0</v>
      </c>
      <c r="V55">
        <f t="shared" si="14"/>
        <v>0</v>
      </c>
      <c r="W55">
        <f t="shared" si="15"/>
        <v>0</v>
      </c>
      <c r="X55">
        <f t="shared" si="16"/>
        <v>0</v>
      </c>
    </row>
    <row r="56" spans="8:24" x14ac:dyDescent="0.3"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0</v>
      </c>
      <c r="L56">
        <f t="shared" si="4"/>
        <v>0</v>
      </c>
      <c r="M56" t="str">
        <f t="shared" si="5"/>
        <v>DOWN</v>
      </c>
      <c r="N56">
        <f t="shared" si="6"/>
        <v>0</v>
      </c>
      <c r="O56">
        <f t="shared" si="7"/>
        <v>0</v>
      </c>
      <c r="P56">
        <f t="shared" si="8"/>
        <v>0</v>
      </c>
      <c r="Q56">
        <f t="shared" si="9"/>
        <v>0</v>
      </c>
      <c r="R56">
        <f t="shared" si="10"/>
        <v>0</v>
      </c>
      <c r="S56">
        <f t="shared" si="11"/>
        <v>0</v>
      </c>
      <c r="T56">
        <f t="shared" si="12"/>
        <v>0</v>
      </c>
      <c r="U56">
        <f t="shared" si="13"/>
        <v>0</v>
      </c>
      <c r="V56">
        <f t="shared" si="14"/>
        <v>0</v>
      </c>
      <c r="W56">
        <f t="shared" si="15"/>
        <v>0</v>
      </c>
      <c r="X56">
        <f t="shared" si="16"/>
        <v>0</v>
      </c>
    </row>
    <row r="57" spans="8:24" x14ac:dyDescent="0.3"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0</v>
      </c>
      <c r="L57">
        <f t="shared" si="4"/>
        <v>0</v>
      </c>
      <c r="M57" t="str">
        <f t="shared" si="5"/>
        <v>DOWN</v>
      </c>
      <c r="N57">
        <f t="shared" si="6"/>
        <v>0</v>
      </c>
      <c r="O57">
        <f t="shared" si="7"/>
        <v>0</v>
      </c>
      <c r="P57">
        <f t="shared" si="8"/>
        <v>0</v>
      </c>
      <c r="Q57">
        <f t="shared" si="9"/>
        <v>0</v>
      </c>
      <c r="R57">
        <f t="shared" si="10"/>
        <v>0</v>
      </c>
      <c r="S57">
        <f t="shared" si="11"/>
        <v>0</v>
      </c>
      <c r="T57">
        <f t="shared" si="12"/>
        <v>0</v>
      </c>
      <c r="U57">
        <f t="shared" si="13"/>
        <v>0</v>
      </c>
      <c r="V57">
        <f t="shared" si="14"/>
        <v>0</v>
      </c>
      <c r="W57">
        <f t="shared" si="15"/>
        <v>0</v>
      </c>
      <c r="X57">
        <f t="shared" si="16"/>
        <v>0</v>
      </c>
    </row>
    <row r="58" spans="8:24" x14ac:dyDescent="0.3"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0</v>
      </c>
      <c r="L58">
        <f t="shared" si="4"/>
        <v>0</v>
      </c>
      <c r="M58" t="str">
        <f t="shared" si="5"/>
        <v>DOWN</v>
      </c>
      <c r="N58">
        <f t="shared" si="6"/>
        <v>0</v>
      </c>
      <c r="O58">
        <f t="shared" si="7"/>
        <v>0</v>
      </c>
      <c r="P58">
        <f t="shared" si="8"/>
        <v>0</v>
      </c>
      <c r="Q58">
        <f t="shared" si="9"/>
        <v>0</v>
      </c>
      <c r="R58">
        <f t="shared" si="10"/>
        <v>0</v>
      </c>
      <c r="S58">
        <f t="shared" si="11"/>
        <v>0</v>
      </c>
      <c r="T58">
        <f t="shared" si="12"/>
        <v>0</v>
      </c>
      <c r="U58">
        <f t="shared" si="13"/>
        <v>0</v>
      </c>
      <c r="V58">
        <f t="shared" si="14"/>
        <v>0</v>
      </c>
      <c r="W58">
        <f t="shared" si="15"/>
        <v>0</v>
      </c>
      <c r="X58">
        <f t="shared" si="16"/>
        <v>0</v>
      </c>
    </row>
    <row r="59" spans="8:24" x14ac:dyDescent="0.3"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0</v>
      </c>
      <c r="L59">
        <f t="shared" si="4"/>
        <v>0</v>
      </c>
      <c r="M59" t="str">
        <f t="shared" si="5"/>
        <v>DOWN</v>
      </c>
      <c r="N59">
        <f t="shared" si="6"/>
        <v>0</v>
      </c>
      <c r="O59">
        <f t="shared" si="7"/>
        <v>0</v>
      </c>
      <c r="P59">
        <f t="shared" si="8"/>
        <v>0</v>
      </c>
      <c r="Q59">
        <f t="shared" si="9"/>
        <v>0</v>
      </c>
      <c r="R59">
        <f t="shared" si="10"/>
        <v>0</v>
      </c>
      <c r="S59">
        <f t="shared" si="11"/>
        <v>0</v>
      </c>
      <c r="T59">
        <f t="shared" si="12"/>
        <v>0</v>
      </c>
      <c r="U59">
        <f t="shared" si="13"/>
        <v>0</v>
      </c>
      <c r="V59">
        <f t="shared" si="14"/>
        <v>0</v>
      </c>
      <c r="W59">
        <f t="shared" si="15"/>
        <v>0</v>
      </c>
      <c r="X59">
        <f t="shared" si="16"/>
        <v>0</v>
      </c>
    </row>
    <row r="60" spans="8:24" x14ac:dyDescent="0.3"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0</v>
      </c>
      <c r="L60">
        <f t="shared" si="4"/>
        <v>0</v>
      </c>
      <c r="M60" t="str">
        <f t="shared" si="5"/>
        <v>DOWN</v>
      </c>
      <c r="N60">
        <f t="shared" si="6"/>
        <v>0</v>
      </c>
      <c r="O60">
        <f t="shared" si="7"/>
        <v>0</v>
      </c>
      <c r="P60">
        <f t="shared" si="8"/>
        <v>0</v>
      </c>
      <c r="Q60">
        <f t="shared" si="9"/>
        <v>0</v>
      </c>
      <c r="R60">
        <f t="shared" si="10"/>
        <v>0</v>
      </c>
      <c r="S60">
        <f t="shared" si="11"/>
        <v>0</v>
      </c>
      <c r="T60">
        <f t="shared" si="12"/>
        <v>0</v>
      </c>
      <c r="U60">
        <f t="shared" si="13"/>
        <v>0</v>
      </c>
      <c r="V60">
        <f t="shared" si="14"/>
        <v>0</v>
      </c>
      <c r="W60">
        <f t="shared" si="15"/>
        <v>0</v>
      </c>
      <c r="X60">
        <f t="shared" si="16"/>
        <v>0</v>
      </c>
    </row>
    <row r="61" spans="8:24" x14ac:dyDescent="0.3"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0</v>
      </c>
      <c r="L61">
        <f t="shared" si="4"/>
        <v>0</v>
      </c>
      <c r="M61" t="str">
        <f t="shared" si="5"/>
        <v>DOWN</v>
      </c>
      <c r="N61">
        <f t="shared" si="6"/>
        <v>0</v>
      </c>
      <c r="O61">
        <f t="shared" si="7"/>
        <v>0</v>
      </c>
      <c r="P61">
        <f t="shared" si="8"/>
        <v>0</v>
      </c>
      <c r="Q61">
        <f t="shared" si="9"/>
        <v>0</v>
      </c>
      <c r="R61">
        <f t="shared" si="10"/>
        <v>0</v>
      </c>
      <c r="S61">
        <f t="shared" si="11"/>
        <v>0</v>
      </c>
      <c r="T61">
        <f t="shared" si="12"/>
        <v>0</v>
      </c>
      <c r="U61">
        <f t="shared" si="13"/>
        <v>0</v>
      </c>
      <c r="V61">
        <f t="shared" si="14"/>
        <v>0</v>
      </c>
      <c r="W61">
        <f t="shared" si="15"/>
        <v>0</v>
      </c>
      <c r="X61">
        <f t="shared" si="16"/>
        <v>0</v>
      </c>
    </row>
    <row r="62" spans="8:24" x14ac:dyDescent="0.3"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0</v>
      </c>
      <c r="L62">
        <f t="shared" si="4"/>
        <v>0</v>
      </c>
      <c r="M62" t="str">
        <f t="shared" si="5"/>
        <v>DOWN</v>
      </c>
      <c r="N62">
        <f t="shared" si="6"/>
        <v>0</v>
      </c>
      <c r="O62">
        <f t="shared" si="7"/>
        <v>0</v>
      </c>
      <c r="P62">
        <f t="shared" si="8"/>
        <v>0</v>
      </c>
      <c r="Q62">
        <f t="shared" si="9"/>
        <v>0</v>
      </c>
      <c r="R62">
        <f t="shared" si="10"/>
        <v>0</v>
      </c>
      <c r="S62">
        <f t="shared" si="11"/>
        <v>0</v>
      </c>
      <c r="T62">
        <f t="shared" si="12"/>
        <v>0</v>
      </c>
      <c r="U62">
        <f t="shared" si="13"/>
        <v>0</v>
      </c>
      <c r="V62">
        <f t="shared" si="14"/>
        <v>0</v>
      </c>
      <c r="W62">
        <f t="shared" si="15"/>
        <v>0</v>
      </c>
      <c r="X62">
        <f t="shared" si="16"/>
        <v>0</v>
      </c>
    </row>
    <row r="63" spans="8:24" x14ac:dyDescent="0.3">
      <c r="H63">
        <f t="shared" si="0"/>
        <v>0</v>
      </c>
      <c r="I63">
        <f t="shared" si="1"/>
        <v>0</v>
      </c>
      <c r="J63">
        <f t="shared" si="2"/>
        <v>0</v>
      </c>
      <c r="K63">
        <f t="shared" si="3"/>
        <v>0</v>
      </c>
      <c r="L63">
        <f t="shared" si="4"/>
        <v>0</v>
      </c>
      <c r="M63" t="str">
        <f t="shared" si="5"/>
        <v>DOWN</v>
      </c>
      <c r="N63">
        <f t="shared" si="6"/>
        <v>0</v>
      </c>
      <c r="O63">
        <f t="shared" si="7"/>
        <v>0</v>
      </c>
      <c r="P63">
        <f t="shared" si="8"/>
        <v>0</v>
      </c>
      <c r="Q63">
        <f t="shared" si="9"/>
        <v>0</v>
      </c>
      <c r="R63">
        <f t="shared" si="10"/>
        <v>0</v>
      </c>
      <c r="S63">
        <f t="shared" si="11"/>
        <v>0</v>
      </c>
      <c r="T63">
        <f t="shared" si="12"/>
        <v>0</v>
      </c>
      <c r="U63">
        <f t="shared" si="13"/>
        <v>0</v>
      </c>
      <c r="V63">
        <f t="shared" si="14"/>
        <v>0</v>
      </c>
      <c r="W63">
        <f t="shared" si="15"/>
        <v>0</v>
      </c>
      <c r="X63">
        <f t="shared" si="16"/>
        <v>0</v>
      </c>
    </row>
    <row r="64" spans="8:24" x14ac:dyDescent="0.3">
      <c r="H64">
        <f t="shared" si="0"/>
        <v>0</v>
      </c>
      <c r="I64">
        <f t="shared" si="1"/>
        <v>0</v>
      </c>
      <c r="J64">
        <f t="shared" si="2"/>
        <v>0</v>
      </c>
      <c r="K64">
        <f t="shared" si="3"/>
        <v>0</v>
      </c>
      <c r="L64">
        <f t="shared" si="4"/>
        <v>0</v>
      </c>
      <c r="M64" t="str">
        <f t="shared" si="5"/>
        <v>DOWN</v>
      </c>
      <c r="N64">
        <f t="shared" si="6"/>
        <v>0</v>
      </c>
      <c r="O64">
        <f t="shared" si="7"/>
        <v>0</v>
      </c>
      <c r="P64">
        <f t="shared" si="8"/>
        <v>0</v>
      </c>
      <c r="Q64">
        <f t="shared" si="9"/>
        <v>0</v>
      </c>
      <c r="R64">
        <f t="shared" si="10"/>
        <v>0</v>
      </c>
      <c r="S64">
        <f t="shared" si="11"/>
        <v>0</v>
      </c>
      <c r="T64">
        <f t="shared" si="12"/>
        <v>0</v>
      </c>
      <c r="U64">
        <f t="shared" si="13"/>
        <v>0</v>
      </c>
      <c r="V64">
        <f t="shared" si="14"/>
        <v>0</v>
      </c>
      <c r="W64">
        <f t="shared" si="15"/>
        <v>0</v>
      </c>
      <c r="X64">
        <f t="shared" si="16"/>
        <v>0</v>
      </c>
    </row>
    <row r="65" spans="8:24" x14ac:dyDescent="0.3">
      <c r="H65">
        <f t="shared" si="0"/>
        <v>0</v>
      </c>
      <c r="I65">
        <f t="shared" si="1"/>
        <v>0</v>
      </c>
      <c r="J65">
        <f t="shared" si="2"/>
        <v>0</v>
      </c>
      <c r="K65">
        <f t="shared" si="3"/>
        <v>0</v>
      </c>
      <c r="L65">
        <f t="shared" si="4"/>
        <v>0</v>
      </c>
      <c r="M65" t="str">
        <f t="shared" si="5"/>
        <v>DOWN</v>
      </c>
      <c r="N65">
        <f t="shared" si="6"/>
        <v>0</v>
      </c>
      <c r="O65">
        <f t="shared" si="7"/>
        <v>0</v>
      </c>
      <c r="P65">
        <f t="shared" si="8"/>
        <v>0</v>
      </c>
      <c r="Q65">
        <f t="shared" si="9"/>
        <v>0</v>
      </c>
      <c r="R65">
        <f t="shared" si="10"/>
        <v>0</v>
      </c>
      <c r="S65">
        <f t="shared" si="11"/>
        <v>0</v>
      </c>
      <c r="T65">
        <f t="shared" si="12"/>
        <v>0</v>
      </c>
      <c r="U65">
        <f t="shared" si="13"/>
        <v>0</v>
      </c>
      <c r="V65">
        <f t="shared" si="14"/>
        <v>0</v>
      </c>
      <c r="W65">
        <f t="shared" si="15"/>
        <v>0</v>
      </c>
      <c r="X65">
        <f t="shared" si="16"/>
        <v>0</v>
      </c>
    </row>
    <row r="66" spans="8:24" x14ac:dyDescent="0.3">
      <c r="H66">
        <f t="shared" ref="H66:H129" si="18">E67</f>
        <v>0</v>
      </c>
      <c r="I66">
        <f t="shared" ref="I66:I129" si="19">MAX(C66,H66)</f>
        <v>0</v>
      </c>
      <c r="J66">
        <f t="shared" ref="J66:J129" si="20">MIN(D66,H66)</f>
        <v>0</v>
      </c>
      <c r="K66">
        <f t="shared" ref="K66:K129" si="21">I66-J66</f>
        <v>0</v>
      </c>
      <c r="L66">
        <f t="shared" ref="L66:L129" si="22">B66-E67</f>
        <v>0</v>
      </c>
      <c r="M66" t="str">
        <f t="shared" ref="M66:M129" si="23">IF(E66&gt;E67,"UP","DOWN")</f>
        <v>DOWN</v>
      </c>
      <c r="N66">
        <f t="shared" ref="N66:N129" si="24">E66-E67</f>
        <v>0</v>
      </c>
      <c r="O66">
        <f t="shared" ref="O66:O129" si="25">SUM(N66:N70)</f>
        <v>0</v>
      </c>
      <c r="P66">
        <f t="shared" ref="P66:P129" si="26">SUM(N66:N75)</f>
        <v>0</v>
      </c>
      <c r="Q66">
        <f t="shared" ref="Q66:Q129" si="27">SUM(N66:N115)</f>
        <v>0</v>
      </c>
      <c r="R66">
        <f t="shared" ref="R66:R129" si="28">SUM(E66:E75)/10</f>
        <v>0</v>
      </c>
      <c r="S66">
        <f t="shared" ref="S66:S129" si="29">R66-R67</f>
        <v>0</v>
      </c>
      <c r="T66">
        <f t="shared" ref="T66:T129" si="30">SUM(E66:E115)/50</f>
        <v>0</v>
      </c>
      <c r="U66">
        <f t="shared" ref="U66:U129" si="31">T66-T67</f>
        <v>0</v>
      </c>
      <c r="V66">
        <f t="shared" ref="V66:V129" si="32">SUM(E66:E165)/100</f>
        <v>0</v>
      </c>
      <c r="W66">
        <f t="shared" ref="W66:W129" si="33">V66-V67</f>
        <v>0</v>
      </c>
      <c r="X66">
        <f t="shared" ref="X66:X129" si="34">SUM(E66:E265)/200</f>
        <v>0</v>
      </c>
    </row>
    <row r="67" spans="8:24" x14ac:dyDescent="0.3">
      <c r="H67">
        <f t="shared" si="18"/>
        <v>0</v>
      </c>
      <c r="I67">
        <f t="shared" si="19"/>
        <v>0</v>
      </c>
      <c r="J67">
        <f t="shared" si="20"/>
        <v>0</v>
      </c>
      <c r="K67">
        <f t="shared" si="21"/>
        <v>0</v>
      </c>
      <c r="L67">
        <f t="shared" si="22"/>
        <v>0</v>
      </c>
      <c r="M67" t="str">
        <f t="shared" si="23"/>
        <v>DOWN</v>
      </c>
      <c r="N67">
        <f t="shared" si="24"/>
        <v>0</v>
      </c>
      <c r="O67">
        <f t="shared" si="25"/>
        <v>0</v>
      </c>
      <c r="P67">
        <f t="shared" si="26"/>
        <v>0</v>
      </c>
      <c r="Q67">
        <f t="shared" si="27"/>
        <v>0</v>
      </c>
      <c r="R67">
        <f t="shared" si="28"/>
        <v>0</v>
      </c>
      <c r="S67">
        <f t="shared" si="29"/>
        <v>0</v>
      </c>
      <c r="T67">
        <f t="shared" si="30"/>
        <v>0</v>
      </c>
      <c r="U67">
        <f t="shared" si="31"/>
        <v>0</v>
      </c>
      <c r="V67">
        <f t="shared" si="32"/>
        <v>0</v>
      </c>
      <c r="W67">
        <f t="shared" si="33"/>
        <v>0</v>
      </c>
      <c r="X67">
        <f t="shared" si="34"/>
        <v>0</v>
      </c>
    </row>
    <row r="68" spans="8:24" x14ac:dyDescent="0.3">
      <c r="H68">
        <f t="shared" si="18"/>
        <v>0</v>
      </c>
      <c r="I68">
        <f t="shared" si="19"/>
        <v>0</v>
      </c>
      <c r="J68">
        <f t="shared" si="20"/>
        <v>0</v>
      </c>
      <c r="K68">
        <f t="shared" si="21"/>
        <v>0</v>
      </c>
      <c r="L68">
        <f t="shared" si="22"/>
        <v>0</v>
      </c>
      <c r="M68" t="str">
        <f t="shared" si="23"/>
        <v>DOWN</v>
      </c>
      <c r="N68">
        <f t="shared" si="24"/>
        <v>0</v>
      </c>
      <c r="O68">
        <f t="shared" si="25"/>
        <v>0</v>
      </c>
      <c r="P68">
        <f t="shared" si="26"/>
        <v>0</v>
      </c>
      <c r="Q68">
        <f t="shared" si="27"/>
        <v>0</v>
      </c>
      <c r="R68">
        <f t="shared" si="28"/>
        <v>0</v>
      </c>
      <c r="S68">
        <f t="shared" si="29"/>
        <v>0</v>
      </c>
      <c r="T68">
        <f t="shared" si="30"/>
        <v>0</v>
      </c>
      <c r="U68">
        <f t="shared" si="31"/>
        <v>0</v>
      </c>
      <c r="V68">
        <f t="shared" si="32"/>
        <v>0</v>
      </c>
      <c r="W68">
        <f t="shared" si="33"/>
        <v>0</v>
      </c>
      <c r="X68">
        <f t="shared" si="34"/>
        <v>0</v>
      </c>
    </row>
    <row r="69" spans="8:24" x14ac:dyDescent="0.3">
      <c r="H69">
        <f t="shared" si="18"/>
        <v>0</v>
      </c>
      <c r="I69">
        <f t="shared" si="19"/>
        <v>0</v>
      </c>
      <c r="J69">
        <f t="shared" si="20"/>
        <v>0</v>
      </c>
      <c r="K69">
        <f t="shared" si="21"/>
        <v>0</v>
      </c>
      <c r="L69">
        <f t="shared" si="22"/>
        <v>0</v>
      </c>
      <c r="M69" t="str">
        <f t="shared" si="23"/>
        <v>DOWN</v>
      </c>
      <c r="N69">
        <f t="shared" si="24"/>
        <v>0</v>
      </c>
      <c r="O69">
        <f t="shared" si="25"/>
        <v>0</v>
      </c>
      <c r="P69">
        <f t="shared" si="26"/>
        <v>0</v>
      </c>
      <c r="Q69">
        <f t="shared" si="27"/>
        <v>0</v>
      </c>
      <c r="R69">
        <f t="shared" si="28"/>
        <v>0</v>
      </c>
      <c r="S69">
        <f t="shared" si="29"/>
        <v>0</v>
      </c>
      <c r="T69">
        <f t="shared" si="30"/>
        <v>0</v>
      </c>
      <c r="U69">
        <f t="shared" si="31"/>
        <v>0</v>
      </c>
      <c r="V69">
        <f t="shared" si="32"/>
        <v>0</v>
      </c>
      <c r="W69">
        <f t="shared" si="33"/>
        <v>0</v>
      </c>
      <c r="X69">
        <f t="shared" si="34"/>
        <v>0</v>
      </c>
    </row>
    <row r="70" spans="8:24" x14ac:dyDescent="0.3">
      <c r="H70">
        <f t="shared" si="18"/>
        <v>0</v>
      </c>
      <c r="I70">
        <f t="shared" si="19"/>
        <v>0</v>
      </c>
      <c r="J70">
        <f t="shared" si="20"/>
        <v>0</v>
      </c>
      <c r="K70">
        <f t="shared" si="21"/>
        <v>0</v>
      </c>
      <c r="L70">
        <f t="shared" si="22"/>
        <v>0</v>
      </c>
      <c r="M70" t="str">
        <f t="shared" si="23"/>
        <v>DOWN</v>
      </c>
      <c r="N70">
        <f t="shared" si="24"/>
        <v>0</v>
      </c>
      <c r="O70">
        <f t="shared" si="25"/>
        <v>0</v>
      </c>
      <c r="P70">
        <f t="shared" si="26"/>
        <v>0</v>
      </c>
      <c r="Q70">
        <f t="shared" si="27"/>
        <v>0</v>
      </c>
      <c r="R70">
        <f t="shared" si="28"/>
        <v>0</v>
      </c>
      <c r="S70">
        <f t="shared" si="29"/>
        <v>0</v>
      </c>
      <c r="T70">
        <f t="shared" si="30"/>
        <v>0</v>
      </c>
      <c r="U70">
        <f t="shared" si="31"/>
        <v>0</v>
      </c>
      <c r="V70">
        <f t="shared" si="32"/>
        <v>0</v>
      </c>
      <c r="W70">
        <f t="shared" si="33"/>
        <v>0</v>
      </c>
      <c r="X70">
        <f t="shared" si="34"/>
        <v>0</v>
      </c>
    </row>
    <row r="71" spans="8:24" x14ac:dyDescent="0.3">
      <c r="H71">
        <f t="shared" si="18"/>
        <v>0</v>
      </c>
      <c r="I71">
        <f t="shared" si="19"/>
        <v>0</v>
      </c>
      <c r="J71">
        <f t="shared" si="20"/>
        <v>0</v>
      </c>
      <c r="K71">
        <f t="shared" si="21"/>
        <v>0</v>
      </c>
      <c r="L71">
        <f t="shared" si="22"/>
        <v>0</v>
      </c>
      <c r="M71" t="str">
        <f t="shared" si="23"/>
        <v>DOWN</v>
      </c>
      <c r="N71">
        <f t="shared" si="24"/>
        <v>0</v>
      </c>
      <c r="O71">
        <f t="shared" si="25"/>
        <v>0</v>
      </c>
      <c r="P71">
        <f t="shared" si="26"/>
        <v>0</v>
      </c>
      <c r="Q71">
        <f t="shared" si="27"/>
        <v>0</v>
      </c>
      <c r="R71">
        <f t="shared" si="28"/>
        <v>0</v>
      </c>
      <c r="S71">
        <f t="shared" si="29"/>
        <v>0</v>
      </c>
      <c r="T71">
        <f t="shared" si="30"/>
        <v>0</v>
      </c>
      <c r="U71">
        <f t="shared" si="31"/>
        <v>0</v>
      </c>
      <c r="V71">
        <f t="shared" si="32"/>
        <v>0</v>
      </c>
      <c r="W71">
        <f t="shared" si="33"/>
        <v>0</v>
      </c>
      <c r="X71">
        <f t="shared" si="34"/>
        <v>0</v>
      </c>
    </row>
    <row r="202" spans="15:21" x14ac:dyDescent="0.3">
      <c r="O202">
        <f t="shared" ref="O194:O257" si="35">SUM(N202:N206)</f>
        <v>0</v>
      </c>
      <c r="P202">
        <f t="shared" ref="P194:P257" si="36">SUM(N202:N211)</f>
        <v>0</v>
      </c>
      <c r="R202">
        <f t="shared" ref="R194:R257" si="37">SUM(E202:E211)/10</f>
        <v>0</v>
      </c>
      <c r="S202">
        <f t="shared" ref="S194:S257" si="38">R202-R203</f>
        <v>0</v>
      </c>
      <c r="T202">
        <f t="shared" ref="T194:T257" si="39">SUM(E202:E251)/50</f>
        <v>0</v>
      </c>
      <c r="U202">
        <f t="shared" ref="U194:U257" si="40">T202-T203</f>
        <v>0</v>
      </c>
    </row>
    <row r="203" spans="15:21" x14ac:dyDescent="0.3">
      <c r="O203">
        <f t="shared" si="35"/>
        <v>0</v>
      </c>
      <c r="P203">
        <f t="shared" si="36"/>
        <v>0</v>
      </c>
      <c r="R203">
        <f t="shared" si="37"/>
        <v>0</v>
      </c>
      <c r="S203">
        <f t="shared" si="38"/>
        <v>0</v>
      </c>
      <c r="T203">
        <f t="shared" si="39"/>
        <v>0</v>
      </c>
      <c r="U203">
        <f t="shared" si="40"/>
        <v>0</v>
      </c>
    </row>
    <row r="204" spans="15:21" x14ac:dyDescent="0.3">
      <c r="O204">
        <f t="shared" si="35"/>
        <v>0</v>
      </c>
      <c r="P204">
        <f t="shared" si="36"/>
        <v>0</v>
      </c>
      <c r="R204">
        <f t="shared" si="37"/>
        <v>0</v>
      </c>
      <c r="S204">
        <f t="shared" si="38"/>
        <v>0</v>
      </c>
      <c r="T204">
        <f t="shared" si="39"/>
        <v>0</v>
      </c>
      <c r="U204">
        <f t="shared" si="40"/>
        <v>0</v>
      </c>
    </row>
    <row r="205" spans="15:21" x14ac:dyDescent="0.3">
      <c r="O205">
        <f t="shared" si="35"/>
        <v>0</v>
      </c>
      <c r="P205">
        <f t="shared" si="36"/>
        <v>0</v>
      </c>
      <c r="R205">
        <f t="shared" si="37"/>
        <v>0</v>
      </c>
      <c r="S205">
        <f t="shared" si="38"/>
        <v>0</v>
      </c>
      <c r="T205">
        <f t="shared" si="39"/>
        <v>0</v>
      </c>
      <c r="U205">
        <f t="shared" si="40"/>
        <v>0</v>
      </c>
    </row>
    <row r="206" spans="15:21" x14ac:dyDescent="0.3">
      <c r="O206">
        <f t="shared" si="35"/>
        <v>0</v>
      </c>
      <c r="P206">
        <f t="shared" si="36"/>
        <v>0</v>
      </c>
      <c r="R206">
        <f t="shared" si="37"/>
        <v>0</v>
      </c>
      <c r="S206">
        <f t="shared" si="38"/>
        <v>0</v>
      </c>
      <c r="T206">
        <f t="shared" si="39"/>
        <v>0</v>
      </c>
      <c r="U206">
        <f t="shared" si="40"/>
        <v>0</v>
      </c>
    </row>
    <row r="207" spans="15:21" x14ac:dyDescent="0.3">
      <c r="O207">
        <f t="shared" si="35"/>
        <v>0</v>
      </c>
      <c r="P207">
        <f t="shared" si="36"/>
        <v>0</v>
      </c>
      <c r="R207">
        <f t="shared" si="37"/>
        <v>0</v>
      </c>
      <c r="S207">
        <f t="shared" si="38"/>
        <v>0</v>
      </c>
      <c r="T207">
        <f t="shared" si="39"/>
        <v>0</v>
      </c>
      <c r="U207">
        <f t="shared" si="40"/>
        <v>0</v>
      </c>
    </row>
    <row r="208" spans="15:21" x14ac:dyDescent="0.3">
      <c r="O208">
        <f t="shared" si="35"/>
        <v>0</v>
      </c>
      <c r="P208">
        <f t="shared" si="36"/>
        <v>0</v>
      </c>
      <c r="R208">
        <f t="shared" si="37"/>
        <v>0</v>
      </c>
      <c r="S208">
        <f t="shared" si="38"/>
        <v>0</v>
      </c>
      <c r="T208">
        <f t="shared" si="39"/>
        <v>0</v>
      </c>
      <c r="U208">
        <f t="shared" si="40"/>
        <v>0</v>
      </c>
    </row>
    <row r="209" spans="15:21" x14ac:dyDescent="0.3">
      <c r="O209">
        <f t="shared" si="35"/>
        <v>0</v>
      </c>
      <c r="P209">
        <f t="shared" si="36"/>
        <v>0</v>
      </c>
      <c r="R209">
        <f t="shared" si="37"/>
        <v>0</v>
      </c>
      <c r="S209">
        <f t="shared" si="38"/>
        <v>0</v>
      </c>
      <c r="T209">
        <f t="shared" si="39"/>
        <v>0</v>
      </c>
      <c r="U209">
        <f t="shared" si="40"/>
        <v>0</v>
      </c>
    </row>
    <row r="210" spans="15:21" x14ac:dyDescent="0.3">
      <c r="O210">
        <f t="shared" si="35"/>
        <v>0</v>
      </c>
      <c r="P210">
        <f t="shared" si="36"/>
        <v>0</v>
      </c>
      <c r="R210">
        <f t="shared" si="37"/>
        <v>0</v>
      </c>
      <c r="S210">
        <f t="shared" si="38"/>
        <v>0</v>
      </c>
      <c r="T210">
        <f t="shared" si="39"/>
        <v>0</v>
      </c>
      <c r="U210">
        <f t="shared" si="40"/>
        <v>0</v>
      </c>
    </row>
    <row r="211" spans="15:21" x14ac:dyDescent="0.3">
      <c r="O211">
        <f t="shared" si="35"/>
        <v>0</v>
      </c>
      <c r="P211">
        <f t="shared" si="36"/>
        <v>0</v>
      </c>
      <c r="R211">
        <f t="shared" si="37"/>
        <v>0</v>
      </c>
      <c r="S211">
        <f t="shared" si="38"/>
        <v>0</v>
      </c>
      <c r="T211">
        <f t="shared" si="39"/>
        <v>0</v>
      </c>
      <c r="U211">
        <f t="shared" si="40"/>
        <v>0</v>
      </c>
    </row>
    <row r="212" spans="15:21" x14ac:dyDescent="0.3">
      <c r="O212">
        <f t="shared" si="35"/>
        <v>0</v>
      </c>
      <c r="P212">
        <f t="shared" si="36"/>
        <v>0</v>
      </c>
      <c r="R212">
        <f t="shared" si="37"/>
        <v>0</v>
      </c>
      <c r="S212">
        <f t="shared" si="38"/>
        <v>0</v>
      </c>
      <c r="T212">
        <f t="shared" si="39"/>
        <v>0</v>
      </c>
      <c r="U212">
        <f t="shared" si="40"/>
        <v>0</v>
      </c>
    </row>
    <row r="213" spans="15:21" x14ac:dyDescent="0.3">
      <c r="O213">
        <f t="shared" si="35"/>
        <v>0</v>
      </c>
      <c r="P213">
        <f t="shared" si="36"/>
        <v>0</v>
      </c>
      <c r="R213">
        <f t="shared" si="37"/>
        <v>0</v>
      </c>
      <c r="S213">
        <f t="shared" si="38"/>
        <v>0</v>
      </c>
      <c r="T213">
        <f t="shared" si="39"/>
        <v>0</v>
      </c>
      <c r="U213">
        <f t="shared" si="40"/>
        <v>0</v>
      </c>
    </row>
    <row r="214" spans="15:21" x14ac:dyDescent="0.3">
      <c r="O214">
        <f t="shared" si="35"/>
        <v>0</v>
      </c>
      <c r="P214">
        <f t="shared" si="36"/>
        <v>0</v>
      </c>
      <c r="R214">
        <f t="shared" si="37"/>
        <v>0</v>
      </c>
      <c r="S214">
        <f t="shared" si="38"/>
        <v>0</v>
      </c>
      <c r="T214">
        <f t="shared" si="39"/>
        <v>0</v>
      </c>
      <c r="U214">
        <f t="shared" si="40"/>
        <v>0</v>
      </c>
    </row>
    <row r="215" spans="15:21" x14ac:dyDescent="0.3">
      <c r="O215">
        <f t="shared" si="35"/>
        <v>0</v>
      </c>
      <c r="P215">
        <f t="shared" si="36"/>
        <v>0</v>
      </c>
      <c r="R215">
        <f t="shared" si="37"/>
        <v>0</v>
      </c>
      <c r="S215">
        <f t="shared" si="38"/>
        <v>0</v>
      </c>
      <c r="T215">
        <f t="shared" si="39"/>
        <v>0</v>
      </c>
      <c r="U215">
        <f t="shared" si="40"/>
        <v>0</v>
      </c>
    </row>
    <row r="216" spans="15:21" x14ac:dyDescent="0.3">
      <c r="O216">
        <f t="shared" si="35"/>
        <v>0</v>
      </c>
      <c r="P216">
        <f t="shared" si="36"/>
        <v>0</v>
      </c>
      <c r="R216">
        <f t="shared" si="37"/>
        <v>0</v>
      </c>
      <c r="S216">
        <f t="shared" si="38"/>
        <v>0</v>
      </c>
      <c r="T216">
        <f t="shared" si="39"/>
        <v>0</v>
      </c>
      <c r="U216">
        <f t="shared" si="40"/>
        <v>0</v>
      </c>
    </row>
    <row r="217" spans="15:21" x14ac:dyDescent="0.3">
      <c r="O217">
        <f t="shared" si="35"/>
        <v>0</v>
      </c>
      <c r="P217">
        <f t="shared" si="36"/>
        <v>0</v>
      </c>
      <c r="R217">
        <f t="shared" si="37"/>
        <v>0</v>
      </c>
      <c r="S217">
        <f t="shared" si="38"/>
        <v>0</v>
      </c>
      <c r="T217">
        <f t="shared" si="39"/>
        <v>0</v>
      </c>
      <c r="U217">
        <f t="shared" si="40"/>
        <v>0</v>
      </c>
    </row>
    <row r="218" spans="15:21" x14ac:dyDescent="0.3">
      <c r="O218">
        <f t="shared" si="35"/>
        <v>0</v>
      </c>
      <c r="P218">
        <f t="shared" si="36"/>
        <v>0</v>
      </c>
      <c r="R218">
        <f t="shared" si="37"/>
        <v>0</v>
      </c>
      <c r="S218">
        <f t="shared" si="38"/>
        <v>0</v>
      </c>
      <c r="T218">
        <f t="shared" si="39"/>
        <v>0</v>
      </c>
      <c r="U218">
        <f t="shared" si="40"/>
        <v>0</v>
      </c>
    </row>
    <row r="219" spans="15:21" x14ac:dyDescent="0.3">
      <c r="O219">
        <f t="shared" si="35"/>
        <v>0</v>
      </c>
      <c r="P219">
        <f t="shared" si="36"/>
        <v>0</v>
      </c>
      <c r="R219">
        <f t="shared" si="37"/>
        <v>0</v>
      </c>
      <c r="S219">
        <f t="shared" si="38"/>
        <v>0</v>
      </c>
      <c r="T219">
        <f t="shared" si="39"/>
        <v>0</v>
      </c>
      <c r="U219">
        <f t="shared" si="40"/>
        <v>0</v>
      </c>
    </row>
    <row r="220" spans="15:21" x14ac:dyDescent="0.3">
      <c r="O220">
        <f t="shared" si="35"/>
        <v>0</v>
      </c>
      <c r="P220">
        <f t="shared" si="36"/>
        <v>0</v>
      </c>
      <c r="R220">
        <f t="shared" si="37"/>
        <v>0</v>
      </c>
      <c r="S220">
        <f t="shared" si="38"/>
        <v>0</v>
      </c>
      <c r="T220">
        <f t="shared" si="39"/>
        <v>0</v>
      </c>
      <c r="U220">
        <f t="shared" si="40"/>
        <v>0</v>
      </c>
    </row>
    <row r="221" spans="15:21" x14ac:dyDescent="0.3">
      <c r="O221">
        <f t="shared" si="35"/>
        <v>0</v>
      </c>
      <c r="P221">
        <f t="shared" si="36"/>
        <v>0</v>
      </c>
      <c r="R221">
        <f t="shared" si="37"/>
        <v>0</v>
      </c>
      <c r="S221">
        <f t="shared" si="38"/>
        <v>0</v>
      </c>
      <c r="T221">
        <f t="shared" si="39"/>
        <v>0</v>
      </c>
      <c r="U221">
        <f t="shared" si="40"/>
        <v>0</v>
      </c>
    </row>
    <row r="222" spans="15:21" x14ac:dyDescent="0.3">
      <c r="O222">
        <f t="shared" si="35"/>
        <v>0</v>
      </c>
      <c r="P222">
        <f t="shared" si="36"/>
        <v>0</v>
      </c>
      <c r="R222">
        <f t="shared" si="37"/>
        <v>0</v>
      </c>
      <c r="S222">
        <f t="shared" si="38"/>
        <v>0</v>
      </c>
      <c r="T222">
        <f t="shared" si="39"/>
        <v>0</v>
      </c>
      <c r="U222">
        <f t="shared" si="40"/>
        <v>0</v>
      </c>
    </row>
    <row r="223" spans="15:21" x14ac:dyDescent="0.3">
      <c r="O223">
        <f t="shared" si="35"/>
        <v>0</v>
      </c>
      <c r="P223">
        <f t="shared" si="36"/>
        <v>0</v>
      </c>
      <c r="R223">
        <f t="shared" si="37"/>
        <v>0</v>
      </c>
      <c r="S223">
        <f t="shared" si="38"/>
        <v>0</v>
      </c>
      <c r="T223">
        <f t="shared" si="39"/>
        <v>0</v>
      </c>
      <c r="U223">
        <f t="shared" si="40"/>
        <v>0</v>
      </c>
    </row>
    <row r="224" spans="15:21" x14ac:dyDescent="0.3">
      <c r="O224">
        <f t="shared" si="35"/>
        <v>0</v>
      </c>
      <c r="P224">
        <f t="shared" si="36"/>
        <v>0</v>
      </c>
      <c r="R224">
        <f t="shared" si="37"/>
        <v>0</v>
      </c>
      <c r="S224">
        <f t="shared" si="38"/>
        <v>0</v>
      </c>
      <c r="T224">
        <f t="shared" si="39"/>
        <v>0</v>
      </c>
      <c r="U224">
        <f t="shared" si="40"/>
        <v>0</v>
      </c>
    </row>
    <row r="225" spans="15:21" x14ac:dyDescent="0.3">
      <c r="O225">
        <f t="shared" si="35"/>
        <v>0</v>
      </c>
      <c r="P225">
        <f t="shared" si="36"/>
        <v>0</v>
      </c>
      <c r="R225">
        <f t="shared" si="37"/>
        <v>0</v>
      </c>
      <c r="S225">
        <f t="shared" si="38"/>
        <v>0</v>
      </c>
      <c r="T225">
        <f t="shared" si="39"/>
        <v>0</v>
      </c>
      <c r="U225">
        <f t="shared" si="40"/>
        <v>0</v>
      </c>
    </row>
    <row r="226" spans="15:21" x14ac:dyDescent="0.3">
      <c r="O226">
        <f t="shared" si="35"/>
        <v>0</v>
      </c>
      <c r="P226">
        <f t="shared" si="36"/>
        <v>0</v>
      </c>
      <c r="R226">
        <f t="shared" si="37"/>
        <v>0</v>
      </c>
      <c r="S226">
        <f t="shared" si="38"/>
        <v>0</v>
      </c>
      <c r="T226">
        <f t="shared" si="39"/>
        <v>0</v>
      </c>
      <c r="U226">
        <f t="shared" si="40"/>
        <v>0</v>
      </c>
    </row>
    <row r="227" spans="15:21" x14ac:dyDescent="0.3">
      <c r="O227">
        <f t="shared" si="35"/>
        <v>0</v>
      </c>
      <c r="P227">
        <f t="shared" si="36"/>
        <v>0</v>
      </c>
      <c r="R227">
        <f t="shared" si="37"/>
        <v>0</v>
      </c>
      <c r="S227">
        <f t="shared" si="38"/>
        <v>0</v>
      </c>
      <c r="T227">
        <f t="shared" si="39"/>
        <v>0</v>
      </c>
      <c r="U227">
        <f t="shared" si="40"/>
        <v>0</v>
      </c>
    </row>
    <row r="228" spans="15:21" x14ac:dyDescent="0.3">
      <c r="O228">
        <f t="shared" si="35"/>
        <v>0</v>
      </c>
      <c r="P228">
        <f t="shared" si="36"/>
        <v>0</v>
      </c>
      <c r="R228">
        <f t="shared" si="37"/>
        <v>0</v>
      </c>
      <c r="S228">
        <f t="shared" si="38"/>
        <v>0</v>
      </c>
      <c r="T228">
        <f t="shared" si="39"/>
        <v>0</v>
      </c>
      <c r="U228">
        <f t="shared" si="40"/>
        <v>0</v>
      </c>
    </row>
    <row r="229" spans="15:21" x14ac:dyDescent="0.3">
      <c r="O229">
        <f t="shared" si="35"/>
        <v>0</v>
      </c>
      <c r="P229">
        <f t="shared" si="36"/>
        <v>0</v>
      </c>
      <c r="R229">
        <f t="shared" si="37"/>
        <v>0</v>
      </c>
      <c r="S229">
        <f t="shared" si="38"/>
        <v>0</v>
      </c>
      <c r="T229">
        <f t="shared" si="39"/>
        <v>0</v>
      </c>
      <c r="U229">
        <f t="shared" si="40"/>
        <v>0</v>
      </c>
    </row>
    <row r="230" spans="15:21" x14ac:dyDescent="0.3">
      <c r="O230">
        <f t="shared" si="35"/>
        <v>0</v>
      </c>
      <c r="P230">
        <f t="shared" si="36"/>
        <v>0</v>
      </c>
      <c r="R230">
        <f t="shared" si="37"/>
        <v>0</v>
      </c>
      <c r="S230">
        <f t="shared" si="38"/>
        <v>0</v>
      </c>
      <c r="T230">
        <f t="shared" si="39"/>
        <v>0</v>
      </c>
      <c r="U230">
        <f t="shared" si="40"/>
        <v>0</v>
      </c>
    </row>
    <row r="231" spans="15:21" x14ac:dyDescent="0.3">
      <c r="O231">
        <f t="shared" si="35"/>
        <v>0</v>
      </c>
      <c r="P231">
        <f t="shared" si="36"/>
        <v>0</v>
      </c>
      <c r="R231">
        <f t="shared" si="37"/>
        <v>0</v>
      </c>
      <c r="S231">
        <f t="shared" si="38"/>
        <v>0</v>
      </c>
      <c r="T231">
        <f t="shared" si="39"/>
        <v>0</v>
      </c>
      <c r="U231">
        <f t="shared" si="40"/>
        <v>0</v>
      </c>
    </row>
    <row r="232" spans="15:21" x14ac:dyDescent="0.3">
      <c r="O232">
        <f t="shared" si="35"/>
        <v>0</v>
      </c>
      <c r="P232">
        <f t="shared" si="36"/>
        <v>0</v>
      </c>
      <c r="R232">
        <f t="shared" si="37"/>
        <v>0</v>
      </c>
      <c r="S232">
        <f t="shared" si="38"/>
        <v>0</v>
      </c>
      <c r="T232">
        <f t="shared" si="39"/>
        <v>0</v>
      </c>
      <c r="U232">
        <f t="shared" si="40"/>
        <v>0</v>
      </c>
    </row>
    <row r="233" spans="15:21" x14ac:dyDescent="0.3">
      <c r="O233">
        <f t="shared" si="35"/>
        <v>0</v>
      </c>
      <c r="P233">
        <f t="shared" si="36"/>
        <v>0</v>
      </c>
      <c r="R233">
        <f t="shared" si="37"/>
        <v>0</v>
      </c>
      <c r="S233">
        <f t="shared" si="38"/>
        <v>0</v>
      </c>
      <c r="T233">
        <f t="shared" si="39"/>
        <v>0</v>
      </c>
      <c r="U233">
        <f t="shared" si="40"/>
        <v>0</v>
      </c>
    </row>
    <row r="234" spans="15:21" x14ac:dyDescent="0.3">
      <c r="O234">
        <f t="shared" si="35"/>
        <v>0</v>
      </c>
      <c r="P234">
        <f t="shared" si="36"/>
        <v>0</v>
      </c>
      <c r="R234">
        <f t="shared" si="37"/>
        <v>0</v>
      </c>
      <c r="S234">
        <f t="shared" si="38"/>
        <v>0</v>
      </c>
      <c r="T234">
        <f t="shared" si="39"/>
        <v>0</v>
      </c>
      <c r="U234">
        <f t="shared" si="40"/>
        <v>0</v>
      </c>
    </row>
    <row r="235" spans="15:21" x14ac:dyDescent="0.3">
      <c r="O235">
        <f t="shared" si="35"/>
        <v>0</v>
      </c>
      <c r="P235">
        <f t="shared" si="36"/>
        <v>0</v>
      </c>
      <c r="R235">
        <f t="shared" si="37"/>
        <v>0</v>
      </c>
      <c r="S235">
        <f t="shared" si="38"/>
        <v>0</v>
      </c>
      <c r="T235">
        <f t="shared" si="39"/>
        <v>0</v>
      </c>
      <c r="U235">
        <f t="shared" si="40"/>
        <v>0</v>
      </c>
    </row>
    <row r="236" spans="15:21" x14ac:dyDescent="0.3">
      <c r="O236">
        <f t="shared" si="35"/>
        <v>0</v>
      </c>
      <c r="P236">
        <f t="shared" si="36"/>
        <v>0</v>
      </c>
      <c r="R236">
        <f t="shared" si="37"/>
        <v>0</v>
      </c>
      <c r="S236">
        <f t="shared" si="38"/>
        <v>0</v>
      </c>
      <c r="T236">
        <f t="shared" si="39"/>
        <v>0</v>
      </c>
      <c r="U236">
        <f t="shared" si="40"/>
        <v>0</v>
      </c>
    </row>
    <row r="237" spans="15:21" x14ac:dyDescent="0.3">
      <c r="O237">
        <f t="shared" si="35"/>
        <v>0</v>
      </c>
      <c r="P237">
        <f t="shared" si="36"/>
        <v>0</v>
      </c>
      <c r="R237">
        <f t="shared" si="37"/>
        <v>0</v>
      </c>
      <c r="S237">
        <f t="shared" si="38"/>
        <v>0</v>
      </c>
      <c r="T237">
        <f t="shared" si="39"/>
        <v>0</v>
      </c>
      <c r="U237">
        <f t="shared" si="40"/>
        <v>0</v>
      </c>
    </row>
    <row r="238" spans="15:21" x14ac:dyDescent="0.3">
      <c r="O238">
        <f t="shared" si="35"/>
        <v>0</v>
      </c>
      <c r="P238">
        <f t="shared" si="36"/>
        <v>0</v>
      </c>
      <c r="R238">
        <f t="shared" si="37"/>
        <v>0</v>
      </c>
      <c r="S238">
        <f t="shared" si="38"/>
        <v>0</v>
      </c>
      <c r="T238">
        <f t="shared" si="39"/>
        <v>0</v>
      </c>
      <c r="U238">
        <f t="shared" si="40"/>
        <v>0</v>
      </c>
    </row>
    <row r="239" spans="15:21" x14ac:dyDescent="0.3">
      <c r="O239">
        <f t="shared" si="35"/>
        <v>0</v>
      </c>
      <c r="P239">
        <f t="shared" si="36"/>
        <v>0</v>
      </c>
      <c r="R239">
        <f t="shared" si="37"/>
        <v>0</v>
      </c>
      <c r="S239">
        <f t="shared" si="38"/>
        <v>0</v>
      </c>
      <c r="T239">
        <f t="shared" si="39"/>
        <v>0</v>
      </c>
      <c r="U239">
        <f t="shared" si="40"/>
        <v>0</v>
      </c>
    </row>
    <row r="240" spans="15:21" x14ac:dyDescent="0.3">
      <c r="O240">
        <f t="shared" si="35"/>
        <v>0</v>
      </c>
      <c r="P240">
        <f t="shared" si="36"/>
        <v>0</v>
      </c>
      <c r="R240">
        <f t="shared" si="37"/>
        <v>0</v>
      </c>
      <c r="S240">
        <f t="shared" si="38"/>
        <v>0</v>
      </c>
      <c r="T240">
        <f t="shared" si="39"/>
        <v>0</v>
      </c>
      <c r="U240">
        <f t="shared" si="40"/>
        <v>0</v>
      </c>
    </row>
    <row r="241" spans="15:21" x14ac:dyDescent="0.3">
      <c r="O241">
        <f t="shared" si="35"/>
        <v>0</v>
      </c>
      <c r="P241">
        <f t="shared" si="36"/>
        <v>0</v>
      </c>
      <c r="R241">
        <f t="shared" si="37"/>
        <v>0</v>
      </c>
      <c r="S241">
        <f t="shared" si="38"/>
        <v>0</v>
      </c>
      <c r="T241">
        <f t="shared" si="39"/>
        <v>0</v>
      </c>
      <c r="U241">
        <f t="shared" si="40"/>
        <v>0</v>
      </c>
    </row>
    <row r="242" spans="15:21" x14ac:dyDescent="0.3">
      <c r="O242">
        <f t="shared" si="35"/>
        <v>0</v>
      </c>
      <c r="P242">
        <f t="shared" si="36"/>
        <v>0</v>
      </c>
      <c r="R242">
        <f t="shared" si="37"/>
        <v>0</v>
      </c>
      <c r="S242">
        <f t="shared" si="38"/>
        <v>0</v>
      </c>
      <c r="T242">
        <f t="shared" si="39"/>
        <v>0</v>
      </c>
      <c r="U242">
        <f t="shared" si="40"/>
        <v>0</v>
      </c>
    </row>
    <row r="243" spans="15:21" x14ac:dyDescent="0.3">
      <c r="O243">
        <f t="shared" si="35"/>
        <v>0</v>
      </c>
      <c r="P243">
        <f t="shared" si="36"/>
        <v>0</v>
      </c>
      <c r="R243">
        <f t="shared" si="37"/>
        <v>0</v>
      </c>
      <c r="S243">
        <f t="shared" si="38"/>
        <v>0</v>
      </c>
      <c r="T243">
        <f t="shared" si="39"/>
        <v>0</v>
      </c>
      <c r="U243">
        <f t="shared" si="40"/>
        <v>0</v>
      </c>
    </row>
    <row r="244" spans="15:21" x14ac:dyDescent="0.3">
      <c r="O244">
        <f t="shared" si="35"/>
        <v>0</v>
      </c>
      <c r="P244">
        <f t="shared" si="36"/>
        <v>0</v>
      </c>
      <c r="R244">
        <f t="shared" si="37"/>
        <v>0</v>
      </c>
      <c r="S244">
        <f t="shared" si="38"/>
        <v>0</v>
      </c>
      <c r="T244">
        <f t="shared" si="39"/>
        <v>0</v>
      </c>
      <c r="U244">
        <f t="shared" si="40"/>
        <v>0</v>
      </c>
    </row>
    <row r="245" spans="15:21" x14ac:dyDescent="0.3">
      <c r="O245">
        <f t="shared" si="35"/>
        <v>0</v>
      </c>
      <c r="P245">
        <f t="shared" si="36"/>
        <v>0</v>
      </c>
      <c r="R245">
        <f t="shared" si="37"/>
        <v>0</v>
      </c>
      <c r="S245">
        <f t="shared" si="38"/>
        <v>0</v>
      </c>
      <c r="T245">
        <f t="shared" si="39"/>
        <v>0</v>
      </c>
      <c r="U245">
        <f t="shared" si="40"/>
        <v>0</v>
      </c>
    </row>
    <row r="246" spans="15:21" x14ac:dyDescent="0.3">
      <c r="O246">
        <f t="shared" si="35"/>
        <v>0</v>
      </c>
      <c r="P246">
        <f t="shared" si="36"/>
        <v>0</v>
      </c>
      <c r="R246">
        <f t="shared" si="37"/>
        <v>0</v>
      </c>
      <c r="S246">
        <f t="shared" si="38"/>
        <v>0</v>
      </c>
      <c r="T246">
        <f t="shared" si="39"/>
        <v>0</v>
      </c>
      <c r="U246">
        <f t="shared" si="40"/>
        <v>0</v>
      </c>
    </row>
    <row r="247" spans="15:21" x14ac:dyDescent="0.3">
      <c r="O247">
        <f t="shared" si="35"/>
        <v>0</v>
      </c>
      <c r="P247">
        <f t="shared" si="36"/>
        <v>0</v>
      </c>
      <c r="R247">
        <f t="shared" si="37"/>
        <v>0</v>
      </c>
      <c r="S247">
        <f t="shared" si="38"/>
        <v>0</v>
      </c>
      <c r="T247">
        <f t="shared" si="39"/>
        <v>0</v>
      </c>
      <c r="U247">
        <f t="shared" si="40"/>
        <v>0</v>
      </c>
    </row>
    <row r="248" spans="15:21" x14ac:dyDescent="0.3">
      <c r="O248">
        <f t="shared" si="35"/>
        <v>0</v>
      </c>
      <c r="P248">
        <f t="shared" si="36"/>
        <v>0</v>
      </c>
      <c r="R248">
        <f t="shared" si="37"/>
        <v>0</v>
      </c>
      <c r="S248">
        <f t="shared" si="38"/>
        <v>0</v>
      </c>
      <c r="T248">
        <f t="shared" si="39"/>
        <v>0</v>
      </c>
      <c r="U248">
        <f t="shared" si="40"/>
        <v>0</v>
      </c>
    </row>
    <row r="249" spans="15:21" x14ac:dyDescent="0.3">
      <c r="O249">
        <f t="shared" si="35"/>
        <v>0</v>
      </c>
      <c r="P249">
        <f t="shared" si="36"/>
        <v>0</v>
      </c>
      <c r="R249">
        <f t="shared" si="37"/>
        <v>0</v>
      </c>
      <c r="S249">
        <f t="shared" si="38"/>
        <v>0</v>
      </c>
      <c r="T249">
        <f t="shared" si="39"/>
        <v>0</v>
      </c>
      <c r="U249">
        <f t="shared" si="40"/>
        <v>0</v>
      </c>
    </row>
    <row r="250" spans="15:21" x14ac:dyDescent="0.3">
      <c r="O250">
        <f t="shared" si="35"/>
        <v>0</v>
      </c>
      <c r="P250">
        <f t="shared" si="36"/>
        <v>0</v>
      </c>
      <c r="R250">
        <f t="shared" si="37"/>
        <v>0</v>
      </c>
      <c r="S250">
        <f t="shared" si="38"/>
        <v>0</v>
      </c>
      <c r="T250">
        <f t="shared" si="39"/>
        <v>0</v>
      </c>
      <c r="U250">
        <f t="shared" si="40"/>
        <v>0</v>
      </c>
    </row>
    <row r="251" spans="15:21" x14ac:dyDescent="0.3">
      <c r="O251">
        <f t="shared" si="35"/>
        <v>0</v>
      </c>
      <c r="P251">
        <f t="shared" si="36"/>
        <v>0</v>
      </c>
      <c r="R251">
        <f t="shared" si="37"/>
        <v>0</v>
      </c>
      <c r="S251">
        <f t="shared" si="38"/>
        <v>0</v>
      </c>
      <c r="T251">
        <f t="shared" si="39"/>
        <v>0</v>
      </c>
      <c r="U251">
        <f t="shared" si="40"/>
        <v>0</v>
      </c>
    </row>
    <row r="252" spans="15:21" x14ac:dyDescent="0.3">
      <c r="O252">
        <f t="shared" si="35"/>
        <v>0</v>
      </c>
      <c r="P252">
        <f t="shared" si="36"/>
        <v>0</v>
      </c>
      <c r="R252">
        <f t="shared" si="37"/>
        <v>0</v>
      </c>
      <c r="S252">
        <f t="shared" si="38"/>
        <v>0</v>
      </c>
      <c r="T252">
        <f t="shared" si="39"/>
        <v>0</v>
      </c>
      <c r="U252">
        <f t="shared" si="40"/>
        <v>0</v>
      </c>
    </row>
    <row r="253" spans="15:21" x14ac:dyDescent="0.3">
      <c r="O253">
        <f t="shared" si="35"/>
        <v>0</v>
      </c>
      <c r="P253">
        <f t="shared" si="36"/>
        <v>0</v>
      </c>
      <c r="R253">
        <f t="shared" si="37"/>
        <v>0</v>
      </c>
      <c r="S253">
        <f t="shared" si="38"/>
        <v>0</v>
      </c>
      <c r="T253">
        <f t="shared" si="39"/>
        <v>0</v>
      </c>
      <c r="U253">
        <f t="shared" si="40"/>
        <v>0</v>
      </c>
    </row>
    <row r="254" spans="15:21" x14ac:dyDescent="0.3">
      <c r="O254">
        <f t="shared" si="35"/>
        <v>0</v>
      </c>
      <c r="P254">
        <f t="shared" si="36"/>
        <v>0</v>
      </c>
      <c r="R254">
        <f t="shared" si="37"/>
        <v>0</v>
      </c>
      <c r="S254">
        <f t="shared" si="38"/>
        <v>0</v>
      </c>
      <c r="T254">
        <f t="shared" si="39"/>
        <v>0</v>
      </c>
      <c r="U254">
        <f t="shared" si="40"/>
        <v>0</v>
      </c>
    </row>
    <row r="255" spans="15:21" x14ac:dyDescent="0.3">
      <c r="O255">
        <f t="shared" si="35"/>
        <v>0</v>
      </c>
      <c r="P255">
        <f t="shared" si="36"/>
        <v>0</v>
      </c>
      <c r="R255">
        <f t="shared" si="37"/>
        <v>0</v>
      </c>
      <c r="S255">
        <f t="shared" si="38"/>
        <v>0</v>
      </c>
      <c r="T255">
        <f t="shared" si="39"/>
        <v>0</v>
      </c>
      <c r="U255">
        <f t="shared" si="40"/>
        <v>0</v>
      </c>
    </row>
    <row r="256" spans="15:21" x14ac:dyDescent="0.3">
      <c r="O256">
        <f t="shared" si="35"/>
        <v>0</v>
      </c>
      <c r="P256">
        <f t="shared" si="36"/>
        <v>0</v>
      </c>
      <c r="R256">
        <f t="shared" si="37"/>
        <v>0</v>
      </c>
      <c r="S256">
        <f t="shared" si="38"/>
        <v>0</v>
      </c>
      <c r="T256">
        <f t="shared" si="39"/>
        <v>0</v>
      </c>
      <c r="U256">
        <f t="shared" si="40"/>
        <v>0</v>
      </c>
    </row>
    <row r="257" spans="15:21" x14ac:dyDescent="0.3">
      <c r="O257">
        <f t="shared" si="35"/>
        <v>0</v>
      </c>
      <c r="P257">
        <f t="shared" si="36"/>
        <v>0</v>
      </c>
      <c r="R257">
        <f t="shared" si="37"/>
        <v>0</v>
      </c>
      <c r="S257">
        <f t="shared" si="38"/>
        <v>0</v>
      </c>
      <c r="T257">
        <f t="shared" si="39"/>
        <v>0</v>
      </c>
      <c r="U257">
        <f t="shared" si="40"/>
        <v>0</v>
      </c>
    </row>
    <row r="258" spans="15:21" x14ac:dyDescent="0.3">
      <c r="O258">
        <f t="shared" ref="O258:O269" si="41">SUM(N258:N262)</f>
        <v>0</v>
      </c>
      <c r="P258">
        <f t="shared" ref="P258:P269" si="42">SUM(N258:N267)</f>
        <v>0</v>
      </c>
      <c r="R258">
        <f t="shared" ref="R258:R269" si="43">SUM(E258:E267)/10</f>
        <v>0</v>
      </c>
      <c r="S258">
        <f t="shared" ref="S258:S269" si="44">R258-R259</f>
        <v>0</v>
      </c>
      <c r="T258">
        <f t="shared" ref="T258:T269" si="45">SUM(E258:E307)/50</f>
        <v>0</v>
      </c>
      <c r="U258">
        <f t="shared" ref="U258:U269" si="46">T258-T259</f>
        <v>0</v>
      </c>
    </row>
    <row r="259" spans="15:21" x14ac:dyDescent="0.3">
      <c r="O259">
        <f t="shared" si="41"/>
        <v>0</v>
      </c>
      <c r="P259">
        <f t="shared" si="42"/>
        <v>0</v>
      </c>
      <c r="R259">
        <f t="shared" si="43"/>
        <v>0</v>
      </c>
      <c r="S259">
        <f t="shared" si="44"/>
        <v>0</v>
      </c>
      <c r="T259">
        <f t="shared" si="45"/>
        <v>0</v>
      </c>
      <c r="U259">
        <f t="shared" si="46"/>
        <v>0</v>
      </c>
    </row>
    <row r="260" spans="15:21" x14ac:dyDescent="0.3">
      <c r="O260">
        <f t="shared" si="41"/>
        <v>0</v>
      </c>
      <c r="P260">
        <f t="shared" si="42"/>
        <v>0</v>
      </c>
      <c r="R260">
        <f t="shared" si="43"/>
        <v>0</v>
      </c>
      <c r="S260">
        <f t="shared" si="44"/>
        <v>0</v>
      </c>
      <c r="T260">
        <f t="shared" si="45"/>
        <v>0</v>
      </c>
      <c r="U260">
        <f t="shared" si="46"/>
        <v>0</v>
      </c>
    </row>
    <row r="261" spans="15:21" x14ac:dyDescent="0.3">
      <c r="O261">
        <f t="shared" si="41"/>
        <v>0</v>
      </c>
      <c r="P261">
        <f t="shared" si="42"/>
        <v>0</v>
      </c>
      <c r="R261">
        <f t="shared" si="43"/>
        <v>0</v>
      </c>
      <c r="S261">
        <f t="shared" si="44"/>
        <v>0</v>
      </c>
      <c r="T261">
        <f t="shared" si="45"/>
        <v>0</v>
      </c>
      <c r="U261">
        <f t="shared" si="46"/>
        <v>0</v>
      </c>
    </row>
    <row r="262" spans="15:21" x14ac:dyDescent="0.3">
      <c r="O262">
        <f t="shared" si="41"/>
        <v>0</v>
      </c>
      <c r="P262">
        <f t="shared" si="42"/>
        <v>0</v>
      </c>
      <c r="R262">
        <f t="shared" si="43"/>
        <v>0</v>
      </c>
      <c r="S262">
        <f t="shared" si="44"/>
        <v>0</v>
      </c>
      <c r="T262">
        <f t="shared" si="45"/>
        <v>0</v>
      </c>
      <c r="U262">
        <f t="shared" si="46"/>
        <v>0</v>
      </c>
    </row>
    <row r="263" spans="15:21" x14ac:dyDescent="0.3">
      <c r="O263">
        <f t="shared" si="41"/>
        <v>0</v>
      </c>
      <c r="P263">
        <f t="shared" si="42"/>
        <v>0</v>
      </c>
      <c r="R263">
        <f t="shared" si="43"/>
        <v>0</v>
      </c>
      <c r="S263">
        <f t="shared" si="44"/>
        <v>0</v>
      </c>
      <c r="T263">
        <f t="shared" si="45"/>
        <v>0</v>
      </c>
      <c r="U263">
        <f t="shared" si="46"/>
        <v>0</v>
      </c>
    </row>
    <row r="264" spans="15:21" x14ac:dyDescent="0.3">
      <c r="O264">
        <f t="shared" si="41"/>
        <v>0</v>
      </c>
      <c r="P264">
        <f t="shared" si="42"/>
        <v>0</v>
      </c>
      <c r="R264">
        <f t="shared" si="43"/>
        <v>0</v>
      </c>
      <c r="S264">
        <f t="shared" si="44"/>
        <v>0</v>
      </c>
      <c r="T264">
        <f t="shared" si="45"/>
        <v>0</v>
      </c>
      <c r="U264">
        <f t="shared" si="46"/>
        <v>0</v>
      </c>
    </row>
    <row r="265" spans="15:21" x14ac:dyDescent="0.3">
      <c r="O265">
        <f t="shared" si="41"/>
        <v>0</v>
      </c>
      <c r="P265">
        <f t="shared" si="42"/>
        <v>0</v>
      </c>
      <c r="R265">
        <f t="shared" si="43"/>
        <v>0</v>
      </c>
      <c r="S265">
        <f t="shared" si="44"/>
        <v>0</v>
      </c>
      <c r="T265">
        <f t="shared" si="45"/>
        <v>0</v>
      </c>
      <c r="U265">
        <f t="shared" si="46"/>
        <v>0</v>
      </c>
    </row>
    <row r="266" spans="15:21" x14ac:dyDescent="0.3">
      <c r="O266">
        <f t="shared" si="41"/>
        <v>0</v>
      </c>
      <c r="P266">
        <f t="shared" si="42"/>
        <v>0</v>
      </c>
      <c r="R266">
        <f t="shared" si="43"/>
        <v>0</v>
      </c>
      <c r="S266">
        <f t="shared" si="44"/>
        <v>0</v>
      </c>
      <c r="T266">
        <f t="shared" si="45"/>
        <v>0</v>
      </c>
      <c r="U266">
        <f t="shared" si="46"/>
        <v>0</v>
      </c>
    </row>
    <row r="267" spans="15:21" x14ac:dyDescent="0.3">
      <c r="O267">
        <f t="shared" si="41"/>
        <v>0</v>
      </c>
      <c r="P267">
        <f t="shared" si="42"/>
        <v>0</v>
      </c>
      <c r="R267">
        <f t="shared" si="43"/>
        <v>0</v>
      </c>
      <c r="S267">
        <f t="shared" si="44"/>
        <v>0</v>
      </c>
      <c r="T267">
        <f t="shared" si="45"/>
        <v>0</v>
      </c>
      <c r="U267">
        <f t="shared" si="46"/>
        <v>0</v>
      </c>
    </row>
    <row r="268" spans="15:21" x14ac:dyDescent="0.3">
      <c r="O268">
        <f t="shared" si="41"/>
        <v>0</v>
      </c>
      <c r="P268">
        <f t="shared" si="42"/>
        <v>0</v>
      </c>
      <c r="R268">
        <f t="shared" si="43"/>
        <v>0</v>
      </c>
      <c r="S268">
        <f t="shared" si="44"/>
        <v>0</v>
      </c>
      <c r="T268">
        <f t="shared" si="45"/>
        <v>0</v>
      </c>
      <c r="U268">
        <f t="shared" si="46"/>
        <v>0</v>
      </c>
    </row>
    <row r="269" spans="15:21" x14ac:dyDescent="0.3">
      <c r="O269">
        <f t="shared" si="41"/>
        <v>0</v>
      </c>
      <c r="P269">
        <f t="shared" si="42"/>
        <v>0</v>
      </c>
      <c r="R269">
        <f t="shared" si="43"/>
        <v>0</v>
      </c>
      <c r="S269">
        <f t="shared" si="44"/>
        <v>0</v>
      </c>
      <c r="T269">
        <f t="shared" si="45"/>
        <v>0</v>
      </c>
      <c r="U269">
        <f t="shared" si="46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69"/>
  <sheetViews>
    <sheetView topLeftCell="D5" workbookViewId="0">
      <selection activeCell="I23" sqref="I23"/>
    </sheetView>
  </sheetViews>
  <sheetFormatPr defaultRowHeight="14.4" x14ac:dyDescent="0.3"/>
  <cols>
    <col min="8" max="8" width="10.88671875" bestFit="1" customWidth="1"/>
    <col min="10" max="10" width="9.88671875" bestFit="1" customWidth="1"/>
    <col min="14" max="14" width="12.109375" customWidth="1"/>
    <col min="23" max="23" width="11.88671875" customWidth="1"/>
  </cols>
  <sheetData>
    <row r="1" spans="1:25" x14ac:dyDescent="0.3">
      <c r="A1" t="s">
        <v>35</v>
      </c>
      <c r="B1">
        <v>1480.6</v>
      </c>
      <c r="C1">
        <v>1501.9</v>
      </c>
      <c r="D1">
        <v>1479.9</v>
      </c>
      <c r="E1">
        <v>1501.9</v>
      </c>
      <c r="F1">
        <v>959237</v>
      </c>
      <c r="G1">
        <v>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</row>
    <row r="2" spans="1:25" x14ac:dyDescent="0.3">
      <c r="A2" t="s">
        <v>47</v>
      </c>
      <c r="B2">
        <v>1481.8</v>
      </c>
      <c r="C2">
        <v>1482.7</v>
      </c>
      <c r="D2">
        <v>1477</v>
      </c>
      <c r="E2">
        <v>1480.6</v>
      </c>
      <c r="F2">
        <v>561706</v>
      </c>
      <c r="G2">
        <v>0</v>
      </c>
      <c r="H2">
        <f t="shared" ref="H2:H65" si="0">E3</f>
        <v>1481.4</v>
      </c>
      <c r="I2">
        <f t="shared" ref="I2:I65" si="1">MAX(C2,H2)</f>
        <v>1482.7</v>
      </c>
      <c r="J2">
        <f t="shared" ref="J2:J65" si="2">MIN(D2,H2)</f>
        <v>1477</v>
      </c>
      <c r="K2">
        <f t="shared" ref="K2:K65" si="3">I2-J2</f>
        <v>5.7000000000000455</v>
      </c>
      <c r="L2">
        <f t="shared" ref="L2:L65" si="4">B2-E3</f>
        <v>0.39999999999986358</v>
      </c>
      <c r="M2" t="str">
        <f t="shared" ref="M2:M65" si="5">IF(E2&gt;E3,"UP","DOWN")</f>
        <v>DOWN</v>
      </c>
      <c r="N2">
        <f t="shared" ref="N2:N65" si="6">E2-E3</f>
        <v>-0.8000000000001819</v>
      </c>
      <c r="O2">
        <f t="shared" ref="O2:O65" si="7">SUM(N2:N6)</f>
        <v>1480.6</v>
      </c>
      <c r="P2">
        <f t="shared" ref="P2:P65" si="8">SUM(N2:N11)</f>
        <v>1480.6</v>
      </c>
      <c r="Q2">
        <f t="shared" ref="Q2:Q65" si="9">SUM(N2:N51)</f>
        <v>1480.6</v>
      </c>
      <c r="R2">
        <f t="shared" ref="R2:R65" si="10">SUM(E2:E11)/10</f>
        <v>444.18999999999994</v>
      </c>
      <c r="S2">
        <f t="shared" ref="S2:S65" si="11">R2-R3</f>
        <v>148.05999999999995</v>
      </c>
      <c r="T2">
        <f t="shared" ref="T2:T65" si="12">SUM(E2:E51)/50</f>
        <v>88.837999999999994</v>
      </c>
      <c r="U2">
        <f t="shared" ref="U2:U65" si="13">T2-T3</f>
        <v>29.611999999999988</v>
      </c>
      <c r="V2">
        <f t="shared" ref="V2:V65" si="14">SUM(E2:E101)/100</f>
        <v>44.418999999999997</v>
      </c>
      <c r="W2">
        <f t="shared" ref="W2:W65" si="15">V2-V3</f>
        <v>14.805999999999994</v>
      </c>
      <c r="X2">
        <f t="shared" ref="X2:X65" si="16">SUM(E2:E201)/200</f>
        <v>22.209499999999998</v>
      </c>
      <c r="Y2">
        <f t="shared" ref="Y2:Y39" si="17">X2-X3</f>
        <v>7.4029999999999969</v>
      </c>
    </row>
    <row r="3" spans="1:25" x14ac:dyDescent="0.3">
      <c r="A3" t="s">
        <v>59</v>
      </c>
      <c r="B3">
        <v>1479.9</v>
      </c>
      <c r="C3">
        <v>1483.9</v>
      </c>
      <c r="D3">
        <v>1474.1</v>
      </c>
      <c r="E3">
        <v>1481.4</v>
      </c>
      <c r="F3">
        <v>470989</v>
      </c>
      <c r="G3">
        <v>0</v>
      </c>
      <c r="H3">
        <f t="shared" si="0"/>
        <v>1479.9</v>
      </c>
      <c r="I3">
        <f t="shared" si="1"/>
        <v>1483.9</v>
      </c>
      <c r="J3">
        <f t="shared" si="2"/>
        <v>1474.1</v>
      </c>
      <c r="K3">
        <f t="shared" si="3"/>
        <v>9.8000000000001819</v>
      </c>
      <c r="L3">
        <f t="shared" si="4"/>
        <v>0</v>
      </c>
      <c r="M3" t="str">
        <f t="shared" si="5"/>
        <v>UP</v>
      </c>
      <c r="N3">
        <f t="shared" si="6"/>
        <v>1.5</v>
      </c>
      <c r="O3">
        <f t="shared" si="7"/>
        <v>1481.4</v>
      </c>
      <c r="P3">
        <f t="shared" si="8"/>
        <v>1481.4</v>
      </c>
      <c r="Q3">
        <f t="shared" si="9"/>
        <v>1481.4</v>
      </c>
      <c r="R3">
        <f t="shared" si="10"/>
        <v>296.13</v>
      </c>
      <c r="S3">
        <f t="shared" si="11"/>
        <v>148.13999999999999</v>
      </c>
      <c r="T3">
        <f t="shared" si="12"/>
        <v>59.226000000000006</v>
      </c>
      <c r="U3">
        <f t="shared" si="13"/>
        <v>29.628000000000004</v>
      </c>
      <c r="V3">
        <f t="shared" si="14"/>
        <v>29.613000000000003</v>
      </c>
      <c r="W3">
        <f t="shared" si="15"/>
        <v>14.814000000000002</v>
      </c>
      <c r="X3">
        <f t="shared" si="16"/>
        <v>14.806500000000002</v>
      </c>
      <c r="Y3">
        <f t="shared" si="17"/>
        <v>7.4070000000000009</v>
      </c>
    </row>
    <row r="4" spans="1:25" x14ac:dyDescent="0.3">
      <c r="A4" t="s">
        <v>71</v>
      </c>
      <c r="B4">
        <v>1482</v>
      </c>
      <c r="C4">
        <v>1487.6</v>
      </c>
      <c r="D4">
        <v>1475.1</v>
      </c>
      <c r="E4">
        <v>1479.9</v>
      </c>
      <c r="F4">
        <v>709671</v>
      </c>
      <c r="G4">
        <v>0</v>
      </c>
      <c r="H4">
        <f t="shared" si="0"/>
        <v>0</v>
      </c>
      <c r="I4">
        <f t="shared" si="1"/>
        <v>1487.6</v>
      </c>
      <c r="J4">
        <f t="shared" si="2"/>
        <v>0</v>
      </c>
      <c r="K4">
        <f t="shared" si="3"/>
        <v>1487.6</v>
      </c>
      <c r="L4">
        <f t="shared" si="4"/>
        <v>1482</v>
      </c>
      <c r="M4" t="str">
        <f t="shared" si="5"/>
        <v>UP</v>
      </c>
      <c r="N4">
        <f t="shared" si="6"/>
        <v>1479.9</v>
      </c>
      <c r="O4">
        <f t="shared" si="7"/>
        <v>1479.9</v>
      </c>
      <c r="P4">
        <f t="shared" si="8"/>
        <v>1479.9</v>
      </c>
      <c r="Q4">
        <f t="shared" si="9"/>
        <v>1479.9</v>
      </c>
      <c r="R4">
        <f t="shared" si="10"/>
        <v>147.99</v>
      </c>
      <c r="S4">
        <f t="shared" si="11"/>
        <v>147.99</v>
      </c>
      <c r="T4">
        <f t="shared" si="12"/>
        <v>29.598000000000003</v>
      </c>
      <c r="U4">
        <f t="shared" si="13"/>
        <v>29.598000000000003</v>
      </c>
      <c r="V4">
        <f t="shared" si="14"/>
        <v>14.799000000000001</v>
      </c>
      <c r="W4">
        <f t="shared" si="15"/>
        <v>14.799000000000001</v>
      </c>
      <c r="X4">
        <f t="shared" si="16"/>
        <v>7.3995000000000006</v>
      </c>
      <c r="Y4">
        <f t="shared" si="17"/>
        <v>7.3995000000000006</v>
      </c>
    </row>
    <row r="5" spans="1:25" x14ac:dyDescent="0.3"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0</v>
      </c>
      <c r="M5" t="str">
        <f t="shared" si="5"/>
        <v>DOWN</v>
      </c>
      <c r="N5">
        <f t="shared" si="6"/>
        <v>0</v>
      </c>
      <c r="O5">
        <f t="shared" si="7"/>
        <v>0</v>
      </c>
      <c r="P5">
        <f t="shared" si="8"/>
        <v>0</v>
      </c>
      <c r="Q5">
        <f t="shared" si="9"/>
        <v>0</v>
      </c>
      <c r="R5">
        <f t="shared" si="10"/>
        <v>0</v>
      </c>
      <c r="S5">
        <f t="shared" si="11"/>
        <v>0</v>
      </c>
      <c r="T5">
        <f t="shared" si="12"/>
        <v>0</v>
      </c>
      <c r="U5">
        <f t="shared" si="13"/>
        <v>0</v>
      </c>
      <c r="V5">
        <f t="shared" si="14"/>
        <v>0</v>
      </c>
      <c r="W5">
        <f t="shared" si="15"/>
        <v>0</v>
      </c>
      <c r="X5">
        <f t="shared" si="16"/>
        <v>0</v>
      </c>
      <c r="Y5">
        <f t="shared" si="17"/>
        <v>0</v>
      </c>
    </row>
    <row r="6" spans="1:25" x14ac:dyDescent="0.3"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0</v>
      </c>
      <c r="M6" t="str">
        <f t="shared" si="5"/>
        <v>DOWN</v>
      </c>
      <c r="N6">
        <f t="shared" si="6"/>
        <v>0</v>
      </c>
      <c r="O6">
        <f t="shared" si="7"/>
        <v>0</v>
      </c>
      <c r="P6">
        <f t="shared" si="8"/>
        <v>0</v>
      </c>
      <c r="Q6">
        <f t="shared" si="9"/>
        <v>0</v>
      </c>
      <c r="R6">
        <f t="shared" si="10"/>
        <v>0</v>
      </c>
      <c r="S6">
        <f t="shared" si="11"/>
        <v>0</v>
      </c>
      <c r="T6">
        <f t="shared" si="12"/>
        <v>0</v>
      </c>
      <c r="U6">
        <f t="shared" si="13"/>
        <v>0</v>
      </c>
      <c r="V6">
        <f t="shared" si="14"/>
        <v>0</v>
      </c>
      <c r="W6">
        <f t="shared" si="15"/>
        <v>0</v>
      </c>
      <c r="X6">
        <f t="shared" si="16"/>
        <v>0</v>
      </c>
      <c r="Y6">
        <f t="shared" si="17"/>
        <v>0</v>
      </c>
    </row>
    <row r="7" spans="1:25" x14ac:dyDescent="0.3"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0</v>
      </c>
      <c r="M7" t="str">
        <f t="shared" si="5"/>
        <v>DOWN</v>
      </c>
      <c r="N7">
        <f t="shared" si="6"/>
        <v>0</v>
      </c>
      <c r="O7">
        <f t="shared" si="7"/>
        <v>0</v>
      </c>
      <c r="P7">
        <f t="shared" si="8"/>
        <v>0</v>
      </c>
      <c r="Q7">
        <f t="shared" si="9"/>
        <v>0</v>
      </c>
      <c r="R7">
        <f t="shared" si="10"/>
        <v>0</v>
      </c>
      <c r="S7">
        <f t="shared" si="11"/>
        <v>0</v>
      </c>
      <c r="T7">
        <f t="shared" si="12"/>
        <v>0</v>
      </c>
      <c r="U7">
        <f t="shared" si="13"/>
        <v>0</v>
      </c>
      <c r="V7">
        <f t="shared" si="14"/>
        <v>0</v>
      </c>
      <c r="W7">
        <f t="shared" si="15"/>
        <v>0</v>
      </c>
      <c r="X7">
        <f t="shared" si="16"/>
        <v>0</v>
      </c>
      <c r="Y7">
        <f t="shared" si="17"/>
        <v>0</v>
      </c>
    </row>
    <row r="8" spans="1:25" x14ac:dyDescent="0.3"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 t="str">
        <f t="shared" si="5"/>
        <v>DOWN</v>
      </c>
      <c r="N8">
        <f t="shared" si="6"/>
        <v>0</v>
      </c>
      <c r="O8">
        <f t="shared" si="7"/>
        <v>0</v>
      </c>
      <c r="P8">
        <f t="shared" si="8"/>
        <v>0</v>
      </c>
      <c r="Q8">
        <f t="shared" si="9"/>
        <v>0</v>
      </c>
      <c r="R8">
        <f t="shared" si="10"/>
        <v>0</v>
      </c>
      <c r="S8">
        <f t="shared" si="11"/>
        <v>0</v>
      </c>
      <c r="T8">
        <f t="shared" si="12"/>
        <v>0</v>
      </c>
      <c r="U8">
        <f t="shared" si="13"/>
        <v>0</v>
      </c>
      <c r="V8">
        <f t="shared" si="14"/>
        <v>0</v>
      </c>
      <c r="W8">
        <f t="shared" si="15"/>
        <v>0</v>
      </c>
      <c r="X8">
        <f t="shared" si="16"/>
        <v>0</v>
      </c>
      <c r="Y8">
        <f t="shared" si="17"/>
        <v>0</v>
      </c>
    </row>
    <row r="9" spans="1:25" x14ac:dyDescent="0.3"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 t="str">
        <f t="shared" si="5"/>
        <v>DOWN</v>
      </c>
      <c r="N9">
        <f t="shared" si="6"/>
        <v>0</v>
      </c>
      <c r="O9">
        <f t="shared" si="7"/>
        <v>0</v>
      </c>
      <c r="P9">
        <f t="shared" si="8"/>
        <v>0</v>
      </c>
      <c r="Q9">
        <f t="shared" si="9"/>
        <v>0</v>
      </c>
      <c r="R9">
        <f t="shared" si="10"/>
        <v>0</v>
      </c>
      <c r="S9">
        <f t="shared" si="11"/>
        <v>0</v>
      </c>
      <c r="T9">
        <f t="shared" si="12"/>
        <v>0</v>
      </c>
      <c r="U9">
        <f t="shared" si="13"/>
        <v>0</v>
      </c>
      <c r="V9">
        <f t="shared" si="14"/>
        <v>0</v>
      </c>
      <c r="W9">
        <f t="shared" si="15"/>
        <v>0</v>
      </c>
      <c r="X9">
        <f t="shared" si="16"/>
        <v>0</v>
      </c>
      <c r="Y9">
        <f t="shared" si="17"/>
        <v>0</v>
      </c>
    </row>
    <row r="10" spans="1:25" x14ac:dyDescent="0.3"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 t="str">
        <f t="shared" si="5"/>
        <v>DOWN</v>
      </c>
      <c r="N10">
        <f t="shared" si="6"/>
        <v>0</v>
      </c>
      <c r="O10">
        <f t="shared" si="7"/>
        <v>0</v>
      </c>
      <c r="P10">
        <f t="shared" si="8"/>
        <v>0</v>
      </c>
      <c r="Q10">
        <f t="shared" si="9"/>
        <v>0</v>
      </c>
      <c r="R10">
        <f t="shared" si="10"/>
        <v>0</v>
      </c>
      <c r="S10">
        <f t="shared" si="11"/>
        <v>0</v>
      </c>
      <c r="T10">
        <f t="shared" si="12"/>
        <v>0</v>
      </c>
      <c r="U10">
        <f t="shared" si="13"/>
        <v>0</v>
      </c>
      <c r="V10">
        <f t="shared" si="14"/>
        <v>0</v>
      </c>
      <c r="W10">
        <f t="shared" si="15"/>
        <v>0</v>
      </c>
      <c r="X10">
        <f t="shared" si="16"/>
        <v>0</v>
      </c>
      <c r="Y10">
        <f t="shared" si="17"/>
        <v>0</v>
      </c>
    </row>
    <row r="11" spans="1:25" x14ac:dyDescent="0.3"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0</v>
      </c>
      <c r="M11" t="str">
        <f t="shared" si="5"/>
        <v>DOWN</v>
      </c>
      <c r="N11">
        <f t="shared" si="6"/>
        <v>0</v>
      </c>
      <c r="O11">
        <f t="shared" si="7"/>
        <v>0</v>
      </c>
      <c r="P11">
        <f t="shared" si="8"/>
        <v>0</v>
      </c>
      <c r="Q11">
        <f t="shared" si="9"/>
        <v>0</v>
      </c>
      <c r="R11">
        <f t="shared" si="10"/>
        <v>0</v>
      </c>
      <c r="S11">
        <f t="shared" si="11"/>
        <v>0</v>
      </c>
      <c r="T11">
        <f t="shared" si="12"/>
        <v>0</v>
      </c>
      <c r="U11">
        <f t="shared" si="13"/>
        <v>0</v>
      </c>
      <c r="V11">
        <f t="shared" si="14"/>
        <v>0</v>
      </c>
      <c r="W11">
        <f t="shared" si="15"/>
        <v>0</v>
      </c>
      <c r="X11">
        <f t="shared" si="16"/>
        <v>0</v>
      </c>
      <c r="Y11">
        <f t="shared" si="17"/>
        <v>0</v>
      </c>
    </row>
    <row r="12" spans="1:25" x14ac:dyDescent="0.3"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 t="str">
        <f t="shared" si="5"/>
        <v>DOWN</v>
      </c>
      <c r="N12">
        <f t="shared" si="6"/>
        <v>0</v>
      </c>
      <c r="O12">
        <f t="shared" si="7"/>
        <v>0</v>
      </c>
      <c r="P12">
        <f t="shared" si="8"/>
        <v>0</v>
      </c>
      <c r="Q12">
        <f t="shared" si="9"/>
        <v>0</v>
      </c>
      <c r="R12">
        <f t="shared" si="10"/>
        <v>0</v>
      </c>
      <c r="S12">
        <f t="shared" si="11"/>
        <v>0</v>
      </c>
      <c r="T12">
        <f t="shared" si="12"/>
        <v>0</v>
      </c>
      <c r="U12">
        <f t="shared" si="13"/>
        <v>0</v>
      </c>
      <c r="V12">
        <f t="shared" si="14"/>
        <v>0</v>
      </c>
      <c r="W12">
        <f t="shared" si="15"/>
        <v>0</v>
      </c>
      <c r="X12">
        <f t="shared" si="16"/>
        <v>0</v>
      </c>
      <c r="Y12">
        <f t="shared" si="17"/>
        <v>0</v>
      </c>
    </row>
    <row r="13" spans="1:25" x14ac:dyDescent="0.3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 t="str">
        <f t="shared" si="5"/>
        <v>DOWN</v>
      </c>
      <c r="N13">
        <f t="shared" si="6"/>
        <v>0</v>
      </c>
      <c r="O13">
        <f t="shared" si="7"/>
        <v>0</v>
      </c>
      <c r="P13">
        <f t="shared" si="8"/>
        <v>0</v>
      </c>
      <c r="Q13">
        <f t="shared" si="9"/>
        <v>0</v>
      </c>
      <c r="R13">
        <f t="shared" si="10"/>
        <v>0</v>
      </c>
      <c r="S13">
        <f t="shared" si="11"/>
        <v>0</v>
      </c>
      <c r="T13">
        <f t="shared" si="12"/>
        <v>0</v>
      </c>
      <c r="U13">
        <f t="shared" si="13"/>
        <v>0</v>
      </c>
      <c r="V13">
        <f t="shared" si="14"/>
        <v>0</v>
      </c>
      <c r="W13">
        <f t="shared" si="15"/>
        <v>0</v>
      </c>
      <c r="X13">
        <f t="shared" si="16"/>
        <v>0</v>
      </c>
      <c r="Y13">
        <f t="shared" si="17"/>
        <v>0</v>
      </c>
    </row>
    <row r="14" spans="1:25" x14ac:dyDescent="0.3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 t="str">
        <f t="shared" si="5"/>
        <v>DOWN</v>
      </c>
      <c r="N14">
        <f t="shared" si="6"/>
        <v>0</v>
      </c>
      <c r="O14">
        <f t="shared" si="7"/>
        <v>0</v>
      </c>
      <c r="P14">
        <f t="shared" si="8"/>
        <v>0</v>
      </c>
      <c r="Q14">
        <f t="shared" si="9"/>
        <v>0</v>
      </c>
      <c r="R14">
        <f t="shared" si="10"/>
        <v>0</v>
      </c>
      <c r="S14">
        <f t="shared" si="11"/>
        <v>0</v>
      </c>
      <c r="T14">
        <f t="shared" si="12"/>
        <v>0</v>
      </c>
      <c r="U14">
        <f t="shared" si="13"/>
        <v>0</v>
      </c>
      <c r="V14">
        <f t="shared" si="14"/>
        <v>0</v>
      </c>
      <c r="W14">
        <f t="shared" si="15"/>
        <v>0</v>
      </c>
      <c r="X14">
        <f t="shared" si="16"/>
        <v>0</v>
      </c>
      <c r="Y14">
        <f t="shared" si="17"/>
        <v>0</v>
      </c>
    </row>
    <row r="15" spans="1:25" x14ac:dyDescent="0.3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 t="str">
        <f t="shared" si="5"/>
        <v>DOWN</v>
      </c>
      <c r="N15">
        <f t="shared" si="6"/>
        <v>0</v>
      </c>
      <c r="O15">
        <f t="shared" si="7"/>
        <v>0</v>
      </c>
      <c r="P15">
        <f t="shared" si="8"/>
        <v>0</v>
      </c>
      <c r="Q15">
        <f t="shared" si="9"/>
        <v>0</v>
      </c>
      <c r="R15">
        <f t="shared" si="10"/>
        <v>0</v>
      </c>
      <c r="S15">
        <f t="shared" si="11"/>
        <v>0</v>
      </c>
      <c r="T15">
        <f t="shared" si="12"/>
        <v>0</v>
      </c>
      <c r="U15">
        <f t="shared" si="13"/>
        <v>0</v>
      </c>
      <c r="V15">
        <f t="shared" si="14"/>
        <v>0</v>
      </c>
      <c r="W15">
        <f t="shared" si="15"/>
        <v>0</v>
      </c>
      <c r="X15">
        <f t="shared" si="16"/>
        <v>0</v>
      </c>
      <c r="Y15">
        <f t="shared" si="17"/>
        <v>0</v>
      </c>
    </row>
    <row r="16" spans="1:25" x14ac:dyDescent="0.3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 t="str">
        <f t="shared" si="5"/>
        <v>DOWN</v>
      </c>
      <c r="N16">
        <f t="shared" si="6"/>
        <v>0</v>
      </c>
      <c r="O16">
        <f t="shared" si="7"/>
        <v>0</v>
      </c>
      <c r="P16">
        <f t="shared" si="8"/>
        <v>0</v>
      </c>
      <c r="Q16">
        <f t="shared" si="9"/>
        <v>0</v>
      </c>
      <c r="R16">
        <f t="shared" si="10"/>
        <v>0</v>
      </c>
      <c r="S16">
        <f t="shared" si="11"/>
        <v>0</v>
      </c>
      <c r="T16">
        <f t="shared" si="12"/>
        <v>0</v>
      </c>
      <c r="U16">
        <f t="shared" si="13"/>
        <v>0</v>
      </c>
      <c r="V16">
        <f t="shared" si="14"/>
        <v>0</v>
      </c>
      <c r="W16">
        <f t="shared" si="15"/>
        <v>0</v>
      </c>
      <c r="X16">
        <f t="shared" si="16"/>
        <v>0</v>
      </c>
      <c r="Y16">
        <f t="shared" si="17"/>
        <v>0</v>
      </c>
    </row>
    <row r="17" spans="8:25" x14ac:dyDescent="0.3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 t="str">
        <f t="shared" si="5"/>
        <v>DOWN</v>
      </c>
      <c r="N17">
        <f t="shared" si="6"/>
        <v>0</v>
      </c>
      <c r="O17">
        <f t="shared" si="7"/>
        <v>0</v>
      </c>
      <c r="P17">
        <f t="shared" si="8"/>
        <v>0</v>
      </c>
      <c r="Q17">
        <f t="shared" si="9"/>
        <v>0</v>
      </c>
      <c r="R17">
        <f t="shared" si="10"/>
        <v>0</v>
      </c>
      <c r="S17">
        <f t="shared" si="11"/>
        <v>0</v>
      </c>
      <c r="T17">
        <f t="shared" si="12"/>
        <v>0</v>
      </c>
      <c r="U17">
        <f t="shared" si="13"/>
        <v>0</v>
      </c>
      <c r="V17">
        <f t="shared" si="14"/>
        <v>0</v>
      </c>
      <c r="W17">
        <f t="shared" si="15"/>
        <v>0</v>
      </c>
      <c r="X17">
        <f t="shared" si="16"/>
        <v>0</v>
      </c>
      <c r="Y17">
        <f t="shared" si="17"/>
        <v>0</v>
      </c>
    </row>
    <row r="202" spans="15:21" x14ac:dyDescent="0.3">
      <c r="O202">
        <f t="shared" ref="O194:O257" si="18">SUM(N202:N206)</f>
        <v>0</v>
      </c>
      <c r="P202">
        <f t="shared" ref="P194:P257" si="19">SUM(N202:N211)</f>
        <v>0</v>
      </c>
      <c r="R202">
        <f t="shared" ref="R194:R257" si="20">SUM(E202:E211)/10</f>
        <v>0</v>
      </c>
      <c r="S202">
        <f t="shared" ref="S194:S257" si="21">R202-R203</f>
        <v>0</v>
      </c>
      <c r="T202">
        <f t="shared" ref="T194:T257" si="22">SUM(E202:E251)/50</f>
        <v>0</v>
      </c>
      <c r="U202">
        <f t="shared" ref="U194:U257" si="23">T202-T203</f>
        <v>0</v>
      </c>
    </row>
    <row r="203" spans="15:21" x14ac:dyDescent="0.3">
      <c r="O203">
        <f t="shared" si="18"/>
        <v>0</v>
      </c>
      <c r="P203">
        <f t="shared" si="19"/>
        <v>0</v>
      </c>
      <c r="R203">
        <f t="shared" si="20"/>
        <v>0</v>
      </c>
      <c r="S203">
        <f t="shared" si="21"/>
        <v>0</v>
      </c>
      <c r="T203">
        <f t="shared" si="22"/>
        <v>0</v>
      </c>
      <c r="U203">
        <f t="shared" si="23"/>
        <v>0</v>
      </c>
    </row>
    <row r="204" spans="15:21" x14ac:dyDescent="0.3">
      <c r="O204">
        <f t="shared" si="18"/>
        <v>0</v>
      </c>
      <c r="P204">
        <f t="shared" si="19"/>
        <v>0</v>
      </c>
      <c r="R204">
        <f t="shared" si="20"/>
        <v>0</v>
      </c>
      <c r="S204">
        <f t="shared" si="21"/>
        <v>0</v>
      </c>
      <c r="T204">
        <f t="shared" si="22"/>
        <v>0</v>
      </c>
      <c r="U204">
        <f t="shared" si="23"/>
        <v>0</v>
      </c>
    </row>
    <row r="205" spans="15:21" x14ac:dyDescent="0.3">
      <c r="O205">
        <f t="shared" si="18"/>
        <v>0</v>
      </c>
      <c r="P205">
        <f t="shared" si="19"/>
        <v>0</v>
      </c>
      <c r="R205">
        <f t="shared" si="20"/>
        <v>0</v>
      </c>
      <c r="S205">
        <f t="shared" si="21"/>
        <v>0</v>
      </c>
      <c r="T205">
        <f t="shared" si="22"/>
        <v>0</v>
      </c>
      <c r="U205">
        <f t="shared" si="23"/>
        <v>0</v>
      </c>
    </row>
    <row r="206" spans="15:21" x14ac:dyDescent="0.3">
      <c r="O206">
        <f t="shared" si="18"/>
        <v>0</v>
      </c>
      <c r="P206">
        <f t="shared" si="19"/>
        <v>0</v>
      </c>
      <c r="R206">
        <f t="shared" si="20"/>
        <v>0</v>
      </c>
      <c r="S206">
        <f t="shared" si="21"/>
        <v>0</v>
      </c>
      <c r="T206">
        <f t="shared" si="22"/>
        <v>0</v>
      </c>
      <c r="U206">
        <f t="shared" si="23"/>
        <v>0</v>
      </c>
    </row>
    <row r="207" spans="15:21" x14ac:dyDescent="0.3">
      <c r="O207">
        <f t="shared" si="18"/>
        <v>0</v>
      </c>
      <c r="P207">
        <f t="shared" si="19"/>
        <v>0</v>
      </c>
      <c r="R207">
        <f t="shared" si="20"/>
        <v>0</v>
      </c>
      <c r="S207">
        <f t="shared" si="21"/>
        <v>0</v>
      </c>
      <c r="T207">
        <f t="shared" si="22"/>
        <v>0</v>
      </c>
      <c r="U207">
        <f t="shared" si="23"/>
        <v>0</v>
      </c>
    </row>
    <row r="208" spans="15:21" x14ac:dyDescent="0.3">
      <c r="O208">
        <f t="shared" si="18"/>
        <v>0</v>
      </c>
      <c r="P208">
        <f t="shared" si="19"/>
        <v>0</v>
      </c>
      <c r="R208">
        <f t="shared" si="20"/>
        <v>0</v>
      </c>
      <c r="S208">
        <f t="shared" si="21"/>
        <v>0</v>
      </c>
      <c r="T208">
        <f t="shared" si="22"/>
        <v>0</v>
      </c>
      <c r="U208">
        <f t="shared" si="23"/>
        <v>0</v>
      </c>
    </row>
    <row r="209" spans="15:21" x14ac:dyDescent="0.3">
      <c r="O209">
        <f t="shared" si="18"/>
        <v>0</v>
      </c>
      <c r="P209">
        <f t="shared" si="19"/>
        <v>0</v>
      </c>
      <c r="R209">
        <f t="shared" si="20"/>
        <v>0</v>
      </c>
      <c r="S209">
        <f t="shared" si="21"/>
        <v>0</v>
      </c>
      <c r="T209">
        <f t="shared" si="22"/>
        <v>0</v>
      </c>
      <c r="U209">
        <f t="shared" si="23"/>
        <v>0</v>
      </c>
    </row>
    <row r="210" spans="15:21" x14ac:dyDescent="0.3">
      <c r="O210">
        <f t="shared" si="18"/>
        <v>0</v>
      </c>
      <c r="P210">
        <f t="shared" si="19"/>
        <v>0</v>
      </c>
      <c r="R210">
        <f t="shared" si="20"/>
        <v>0</v>
      </c>
      <c r="S210">
        <f t="shared" si="21"/>
        <v>0</v>
      </c>
      <c r="T210">
        <f t="shared" si="22"/>
        <v>0</v>
      </c>
      <c r="U210">
        <f t="shared" si="23"/>
        <v>0</v>
      </c>
    </row>
    <row r="211" spans="15:21" x14ac:dyDescent="0.3">
      <c r="O211">
        <f t="shared" si="18"/>
        <v>0</v>
      </c>
      <c r="P211">
        <f t="shared" si="19"/>
        <v>0</v>
      </c>
      <c r="R211">
        <f t="shared" si="20"/>
        <v>0</v>
      </c>
      <c r="S211">
        <f t="shared" si="21"/>
        <v>0</v>
      </c>
      <c r="T211">
        <f t="shared" si="22"/>
        <v>0</v>
      </c>
      <c r="U211">
        <f t="shared" si="23"/>
        <v>0</v>
      </c>
    </row>
    <row r="212" spans="15:21" x14ac:dyDescent="0.3">
      <c r="O212">
        <f t="shared" si="18"/>
        <v>0</v>
      </c>
      <c r="P212">
        <f t="shared" si="19"/>
        <v>0</v>
      </c>
      <c r="R212">
        <f t="shared" si="20"/>
        <v>0</v>
      </c>
      <c r="S212">
        <f t="shared" si="21"/>
        <v>0</v>
      </c>
      <c r="T212">
        <f t="shared" si="22"/>
        <v>0</v>
      </c>
      <c r="U212">
        <f t="shared" si="23"/>
        <v>0</v>
      </c>
    </row>
    <row r="213" spans="15:21" x14ac:dyDescent="0.3">
      <c r="O213">
        <f t="shared" si="18"/>
        <v>0</v>
      </c>
      <c r="P213">
        <f t="shared" si="19"/>
        <v>0</v>
      </c>
      <c r="R213">
        <f t="shared" si="20"/>
        <v>0</v>
      </c>
      <c r="S213">
        <f t="shared" si="21"/>
        <v>0</v>
      </c>
      <c r="T213">
        <f t="shared" si="22"/>
        <v>0</v>
      </c>
      <c r="U213">
        <f t="shared" si="23"/>
        <v>0</v>
      </c>
    </row>
    <row r="214" spans="15:21" x14ac:dyDescent="0.3">
      <c r="O214">
        <f t="shared" si="18"/>
        <v>0</v>
      </c>
      <c r="P214">
        <f t="shared" si="19"/>
        <v>0</v>
      </c>
      <c r="R214">
        <f t="shared" si="20"/>
        <v>0</v>
      </c>
      <c r="S214">
        <f t="shared" si="21"/>
        <v>0</v>
      </c>
      <c r="T214">
        <f t="shared" si="22"/>
        <v>0</v>
      </c>
      <c r="U214">
        <f t="shared" si="23"/>
        <v>0</v>
      </c>
    </row>
    <row r="215" spans="15:21" x14ac:dyDescent="0.3">
      <c r="O215">
        <f t="shared" si="18"/>
        <v>0</v>
      </c>
      <c r="P215">
        <f t="shared" si="19"/>
        <v>0</v>
      </c>
      <c r="R215">
        <f t="shared" si="20"/>
        <v>0</v>
      </c>
      <c r="S215">
        <f t="shared" si="21"/>
        <v>0</v>
      </c>
      <c r="T215">
        <f t="shared" si="22"/>
        <v>0</v>
      </c>
      <c r="U215">
        <f t="shared" si="23"/>
        <v>0</v>
      </c>
    </row>
    <row r="216" spans="15:21" x14ac:dyDescent="0.3">
      <c r="O216">
        <f t="shared" si="18"/>
        <v>0</v>
      </c>
      <c r="P216">
        <f t="shared" si="19"/>
        <v>0</v>
      </c>
      <c r="R216">
        <f t="shared" si="20"/>
        <v>0</v>
      </c>
      <c r="S216">
        <f t="shared" si="21"/>
        <v>0</v>
      </c>
      <c r="T216">
        <f t="shared" si="22"/>
        <v>0</v>
      </c>
      <c r="U216">
        <f t="shared" si="23"/>
        <v>0</v>
      </c>
    </row>
    <row r="217" spans="15:21" x14ac:dyDescent="0.3">
      <c r="O217">
        <f t="shared" si="18"/>
        <v>0</v>
      </c>
      <c r="P217">
        <f t="shared" si="19"/>
        <v>0</v>
      </c>
      <c r="R217">
        <f t="shared" si="20"/>
        <v>0</v>
      </c>
      <c r="S217">
        <f t="shared" si="21"/>
        <v>0</v>
      </c>
      <c r="T217">
        <f t="shared" si="22"/>
        <v>0</v>
      </c>
      <c r="U217">
        <f t="shared" si="23"/>
        <v>0</v>
      </c>
    </row>
    <row r="218" spans="15:21" x14ac:dyDescent="0.3">
      <c r="O218">
        <f t="shared" si="18"/>
        <v>0</v>
      </c>
      <c r="P218">
        <f t="shared" si="19"/>
        <v>0</v>
      </c>
      <c r="R218">
        <f t="shared" si="20"/>
        <v>0</v>
      </c>
      <c r="S218">
        <f t="shared" si="21"/>
        <v>0</v>
      </c>
      <c r="T218">
        <f t="shared" si="22"/>
        <v>0</v>
      </c>
      <c r="U218">
        <f t="shared" si="23"/>
        <v>0</v>
      </c>
    </row>
    <row r="219" spans="15:21" x14ac:dyDescent="0.3">
      <c r="O219">
        <f t="shared" si="18"/>
        <v>0</v>
      </c>
      <c r="P219">
        <f t="shared" si="19"/>
        <v>0</v>
      </c>
      <c r="R219">
        <f t="shared" si="20"/>
        <v>0</v>
      </c>
      <c r="S219">
        <f t="shared" si="21"/>
        <v>0</v>
      </c>
      <c r="T219">
        <f t="shared" si="22"/>
        <v>0</v>
      </c>
      <c r="U219">
        <f t="shared" si="23"/>
        <v>0</v>
      </c>
    </row>
    <row r="220" spans="15:21" x14ac:dyDescent="0.3">
      <c r="O220">
        <f t="shared" si="18"/>
        <v>0</v>
      </c>
      <c r="P220">
        <f t="shared" si="19"/>
        <v>0</v>
      </c>
      <c r="R220">
        <f t="shared" si="20"/>
        <v>0</v>
      </c>
      <c r="S220">
        <f t="shared" si="21"/>
        <v>0</v>
      </c>
      <c r="T220">
        <f t="shared" si="22"/>
        <v>0</v>
      </c>
      <c r="U220">
        <f t="shared" si="23"/>
        <v>0</v>
      </c>
    </row>
    <row r="221" spans="15:21" x14ac:dyDescent="0.3">
      <c r="O221">
        <f t="shared" si="18"/>
        <v>0</v>
      </c>
      <c r="P221">
        <f t="shared" si="19"/>
        <v>0</v>
      </c>
      <c r="R221">
        <f t="shared" si="20"/>
        <v>0</v>
      </c>
      <c r="S221">
        <f t="shared" si="21"/>
        <v>0</v>
      </c>
      <c r="T221">
        <f t="shared" si="22"/>
        <v>0</v>
      </c>
      <c r="U221">
        <f t="shared" si="23"/>
        <v>0</v>
      </c>
    </row>
    <row r="222" spans="15:21" x14ac:dyDescent="0.3">
      <c r="O222">
        <f t="shared" si="18"/>
        <v>0</v>
      </c>
      <c r="P222">
        <f t="shared" si="19"/>
        <v>0</v>
      </c>
      <c r="R222">
        <f t="shared" si="20"/>
        <v>0</v>
      </c>
      <c r="S222">
        <f t="shared" si="21"/>
        <v>0</v>
      </c>
      <c r="T222">
        <f t="shared" si="22"/>
        <v>0</v>
      </c>
      <c r="U222">
        <f t="shared" si="23"/>
        <v>0</v>
      </c>
    </row>
    <row r="223" spans="15:21" x14ac:dyDescent="0.3">
      <c r="O223">
        <f t="shared" si="18"/>
        <v>0</v>
      </c>
      <c r="P223">
        <f t="shared" si="19"/>
        <v>0</v>
      </c>
      <c r="R223">
        <f t="shared" si="20"/>
        <v>0</v>
      </c>
      <c r="S223">
        <f t="shared" si="21"/>
        <v>0</v>
      </c>
      <c r="T223">
        <f t="shared" si="22"/>
        <v>0</v>
      </c>
      <c r="U223">
        <f t="shared" si="23"/>
        <v>0</v>
      </c>
    </row>
    <row r="224" spans="15:21" x14ac:dyDescent="0.3">
      <c r="O224">
        <f t="shared" si="18"/>
        <v>0</v>
      </c>
      <c r="P224">
        <f t="shared" si="19"/>
        <v>0</v>
      </c>
      <c r="R224">
        <f t="shared" si="20"/>
        <v>0</v>
      </c>
      <c r="S224">
        <f t="shared" si="21"/>
        <v>0</v>
      </c>
      <c r="T224">
        <f t="shared" si="22"/>
        <v>0</v>
      </c>
      <c r="U224">
        <f t="shared" si="23"/>
        <v>0</v>
      </c>
    </row>
    <row r="225" spans="15:21" x14ac:dyDescent="0.3">
      <c r="O225">
        <f t="shared" si="18"/>
        <v>0</v>
      </c>
      <c r="P225">
        <f t="shared" si="19"/>
        <v>0</v>
      </c>
      <c r="R225">
        <f t="shared" si="20"/>
        <v>0</v>
      </c>
      <c r="S225">
        <f t="shared" si="21"/>
        <v>0</v>
      </c>
      <c r="T225">
        <f t="shared" si="22"/>
        <v>0</v>
      </c>
      <c r="U225">
        <f t="shared" si="23"/>
        <v>0</v>
      </c>
    </row>
    <row r="226" spans="15:21" x14ac:dyDescent="0.3">
      <c r="O226">
        <f t="shared" si="18"/>
        <v>0</v>
      </c>
      <c r="P226">
        <f t="shared" si="19"/>
        <v>0</v>
      </c>
      <c r="R226">
        <f t="shared" si="20"/>
        <v>0</v>
      </c>
      <c r="S226">
        <f t="shared" si="21"/>
        <v>0</v>
      </c>
      <c r="T226">
        <f t="shared" si="22"/>
        <v>0</v>
      </c>
      <c r="U226">
        <f t="shared" si="23"/>
        <v>0</v>
      </c>
    </row>
    <row r="227" spans="15:21" x14ac:dyDescent="0.3">
      <c r="O227">
        <f t="shared" si="18"/>
        <v>0</v>
      </c>
      <c r="P227">
        <f t="shared" si="19"/>
        <v>0</v>
      </c>
      <c r="R227">
        <f t="shared" si="20"/>
        <v>0</v>
      </c>
      <c r="S227">
        <f t="shared" si="21"/>
        <v>0</v>
      </c>
      <c r="T227">
        <f t="shared" si="22"/>
        <v>0</v>
      </c>
      <c r="U227">
        <f t="shared" si="23"/>
        <v>0</v>
      </c>
    </row>
    <row r="228" spans="15:21" x14ac:dyDescent="0.3">
      <c r="O228">
        <f t="shared" si="18"/>
        <v>0</v>
      </c>
      <c r="P228">
        <f t="shared" si="19"/>
        <v>0</v>
      </c>
      <c r="R228">
        <f t="shared" si="20"/>
        <v>0</v>
      </c>
      <c r="S228">
        <f t="shared" si="21"/>
        <v>0</v>
      </c>
      <c r="T228">
        <f t="shared" si="22"/>
        <v>0</v>
      </c>
      <c r="U228">
        <f t="shared" si="23"/>
        <v>0</v>
      </c>
    </row>
    <row r="229" spans="15:21" x14ac:dyDescent="0.3">
      <c r="O229">
        <f t="shared" si="18"/>
        <v>0</v>
      </c>
      <c r="P229">
        <f t="shared" si="19"/>
        <v>0</v>
      </c>
      <c r="R229">
        <f t="shared" si="20"/>
        <v>0</v>
      </c>
      <c r="S229">
        <f t="shared" si="21"/>
        <v>0</v>
      </c>
      <c r="T229">
        <f t="shared" si="22"/>
        <v>0</v>
      </c>
      <c r="U229">
        <f t="shared" si="23"/>
        <v>0</v>
      </c>
    </row>
    <row r="230" spans="15:21" x14ac:dyDescent="0.3">
      <c r="O230">
        <f t="shared" si="18"/>
        <v>0</v>
      </c>
      <c r="P230">
        <f t="shared" si="19"/>
        <v>0</v>
      </c>
      <c r="R230">
        <f t="shared" si="20"/>
        <v>0</v>
      </c>
      <c r="S230">
        <f t="shared" si="21"/>
        <v>0</v>
      </c>
      <c r="T230">
        <f t="shared" si="22"/>
        <v>0</v>
      </c>
      <c r="U230">
        <f t="shared" si="23"/>
        <v>0</v>
      </c>
    </row>
    <row r="231" spans="15:21" x14ac:dyDescent="0.3">
      <c r="O231">
        <f t="shared" si="18"/>
        <v>0</v>
      </c>
      <c r="P231">
        <f t="shared" si="19"/>
        <v>0</v>
      </c>
      <c r="R231">
        <f t="shared" si="20"/>
        <v>0</v>
      </c>
      <c r="S231">
        <f t="shared" si="21"/>
        <v>0</v>
      </c>
      <c r="T231">
        <f t="shared" si="22"/>
        <v>0</v>
      </c>
      <c r="U231">
        <f t="shared" si="23"/>
        <v>0</v>
      </c>
    </row>
    <row r="232" spans="15:21" x14ac:dyDescent="0.3">
      <c r="O232">
        <f t="shared" si="18"/>
        <v>0</v>
      </c>
      <c r="P232">
        <f t="shared" si="19"/>
        <v>0</v>
      </c>
      <c r="R232">
        <f t="shared" si="20"/>
        <v>0</v>
      </c>
      <c r="S232">
        <f t="shared" si="21"/>
        <v>0</v>
      </c>
      <c r="T232">
        <f t="shared" si="22"/>
        <v>0</v>
      </c>
      <c r="U232">
        <f t="shared" si="23"/>
        <v>0</v>
      </c>
    </row>
    <row r="233" spans="15:21" x14ac:dyDescent="0.3">
      <c r="O233">
        <f t="shared" si="18"/>
        <v>0</v>
      </c>
      <c r="P233">
        <f t="shared" si="19"/>
        <v>0</v>
      </c>
      <c r="R233">
        <f t="shared" si="20"/>
        <v>0</v>
      </c>
      <c r="S233">
        <f t="shared" si="21"/>
        <v>0</v>
      </c>
      <c r="T233">
        <f t="shared" si="22"/>
        <v>0</v>
      </c>
      <c r="U233">
        <f t="shared" si="23"/>
        <v>0</v>
      </c>
    </row>
    <row r="234" spans="15:21" x14ac:dyDescent="0.3">
      <c r="O234">
        <f t="shared" si="18"/>
        <v>0</v>
      </c>
      <c r="P234">
        <f t="shared" si="19"/>
        <v>0</v>
      </c>
      <c r="R234">
        <f t="shared" si="20"/>
        <v>0</v>
      </c>
      <c r="S234">
        <f t="shared" si="21"/>
        <v>0</v>
      </c>
      <c r="T234">
        <f t="shared" si="22"/>
        <v>0</v>
      </c>
      <c r="U234">
        <f t="shared" si="23"/>
        <v>0</v>
      </c>
    </row>
    <row r="235" spans="15:21" x14ac:dyDescent="0.3">
      <c r="O235">
        <f t="shared" si="18"/>
        <v>0</v>
      </c>
      <c r="P235">
        <f t="shared" si="19"/>
        <v>0</v>
      </c>
      <c r="R235">
        <f t="shared" si="20"/>
        <v>0</v>
      </c>
      <c r="S235">
        <f t="shared" si="21"/>
        <v>0</v>
      </c>
      <c r="T235">
        <f t="shared" si="22"/>
        <v>0</v>
      </c>
      <c r="U235">
        <f t="shared" si="23"/>
        <v>0</v>
      </c>
    </row>
    <row r="236" spans="15:21" x14ac:dyDescent="0.3">
      <c r="O236">
        <f t="shared" si="18"/>
        <v>0</v>
      </c>
      <c r="P236">
        <f t="shared" si="19"/>
        <v>0</v>
      </c>
      <c r="R236">
        <f t="shared" si="20"/>
        <v>0</v>
      </c>
      <c r="S236">
        <f t="shared" si="21"/>
        <v>0</v>
      </c>
      <c r="T236">
        <f t="shared" si="22"/>
        <v>0</v>
      </c>
      <c r="U236">
        <f t="shared" si="23"/>
        <v>0</v>
      </c>
    </row>
    <row r="237" spans="15:21" x14ac:dyDescent="0.3">
      <c r="O237">
        <f t="shared" si="18"/>
        <v>0</v>
      </c>
      <c r="P237">
        <f t="shared" si="19"/>
        <v>0</v>
      </c>
      <c r="R237">
        <f t="shared" si="20"/>
        <v>0</v>
      </c>
      <c r="S237">
        <f t="shared" si="21"/>
        <v>0</v>
      </c>
      <c r="T237">
        <f t="shared" si="22"/>
        <v>0</v>
      </c>
      <c r="U237">
        <f t="shared" si="23"/>
        <v>0</v>
      </c>
    </row>
    <row r="238" spans="15:21" x14ac:dyDescent="0.3">
      <c r="O238">
        <f t="shared" si="18"/>
        <v>0</v>
      </c>
      <c r="P238">
        <f t="shared" si="19"/>
        <v>0</v>
      </c>
      <c r="R238">
        <f t="shared" si="20"/>
        <v>0</v>
      </c>
      <c r="S238">
        <f t="shared" si="21"/>
        <v>0</v>
      </c>
      <c r="T238">
        <f t="shared" si="22"/>
        <v>0</v>
      </c>
      <c r="U238">
        <f t="shared" si="23"/>
        <v>0</v>
      </c>
    </row>
    <row r="239" spans="15:21" x14ac:dyDescent="0.3">
      <c r="O239">
        <f t="shared" si="18"/>
        <v>0</v>
      </c>
      <c r="P239">
        <f t="shared" si="19"/>
        <v>0</v>
      </c>
      <c r="R239">
        <f t="shared" si="20"/>
        <v>0</v>
      </c>
      <c r="S239">
        <f t="shared" si="21"/>
        <v>0</v>
      </c>
      <c r="T239">
        <f t="shared" si="22"/>
        <v>0</v>
      </c>
      <c r="U239">
        <f t="shared" si="23"/>
        <v>0</v>
      </c>
    </row>
    <row r="240" spans="15:21" x14ac:dyDescent="0.3">
      <c r="O240">
        <f t="shared" si="18"/>
        <v>0</v>
      </c>
      <c r="P240">
        <f t="shared" si="19"/>
        <v>0</v>
      </c>
      <c r="R240">
        <f t="shared" si="20"/>
        <v>0</v>
      </c>
      <c r="S240">
        <f t="shared" si="21"/>
        <v>0</v>
      </c>
      <c r="T240">
        <f t="shared" si="22"/>
        <v>0</v>
      </c>
      <c r="U240">
        <f t="shared" si="23"/>
        <v>0</v>
      </c>
    </row>
    <row r="241" spans="15:21" x14ac:dyDescent="0.3">
      <c r="O241">
        <f t="shared" si="18"/>
        <v>0</v>
      </c>
      <c r="P241">
        <f t="shared" si="19"/>
        <v>0</v>
      </c>
      <c r="R241">
        <f t="shared" si="20"/>
        <v>0</v>
      </c>
      <c r="S241">
        <f t="shared" si="21"/>
        <v>0</v>
      </c>
      <c r="T241">
        <f t="shared" si="22"/>
        <v>0</v>
      </c>
      <c r="U241">
        <f t="shared" si="23"/>
        <v>0</v>
      </c>
    </row>
    <row r="242" spans="15:21" x14ac:dyDescent="0.3">
      <c r="O242">
        <f t="shared" si="18"/>
        <v>0</v>
      </c>
      <c r="P242">
        <f t="shared" si="19"/>
        <v>0</v>
      </c>
      <c r="R242">
        <f t="shared" si="20"/>
        <v>0</v>
      </c>
      <c r="S242">
        <f t="shared" si="21"/>
        <v>0</v>
      </c>
      <c r="T242">
        <f t="shared" si="22"/>
        <v>0</v>
      </c>
      <c r="U242">
        <f t="shared" si="23"/>
        <v>0</v>
      </c>
    </row>
    <row r="243" spans="15:21" x14ac:dyDescent="0.3">
      <c r="O243">
        <f t="shared" si="18"/>
        <v>0</v>
      </c>
      <c r="P243">
        <f t="shared" si="19"/>
        <v>0</v>
      </c>
      <c r="R243">
        <f t="shared" si="20"/>
        <v>0</v>
      </c>
      <c r="S243">
        <f t="shared" si="21"/>
        <v>0</v>
      </c>
      <c r="T243">
        <f t="shared" si="22"/>
        <v>0</v>
      </c>
      <c r="U243">
        <f t="shared" si="23"/>
        <v>0</v>
      </c>
    </row>
    <row r="244" spans="15:21" x14ac:dyDescent="0.3">
      <c r="O244">
        <f t="shared" si="18"/>
        <v>0</v>
      </c>
      <c r="P244">
        <f t="shared" si="19"/>
        <v>0</v>
      </c>
      <c r="R244">
        <f t="shared" si="20"/>
        <v>0</v>
      </c>
      <c r="S244">
        <f t="shared" si="21"/>
        <v>0</v>
      </c>
      <c r="T244">
        <f t="shared" si="22"/>
        <v>0</v>
      </c>
      <c r="U244">
        <f t="shared" si="23"/>
        <v>0</v>
      </c>
    </row>
    <row r="245" spans="15:21" x14ac:dyDescent="0.3">
      <c r="O245">
        <f t="shared" si="18"/>
        <v>0</v>
      </c>
      <c r="P245">
        <f t="shared" si="19"/>
        <v>0</v>
      </c>
      <c r="R245">
        <f t="shared" si="20"/>
        <v>0</v>
      </c>
      <c r="S245">
        <f t="shared" si="21"/>
        <v>0</v>
      </c>
      <c r="T245">
        <f t="shared" si="22"/>
        <v>0</v>
      </c>
      <c r="U245">
        <f t="shared" si="23"/>
        <v>0</v>
      </c>
    </row>
    <row r="246" spans="15:21" x14ac:dyDescent="0.3">
      <c r="O246">
        <f t="shared" si="18"/>
        <v>0</v>
      </c>
      <c r="P246">
        <f t="shared" si="19"/>
        <v>0</v>
      </c>
      <c r="R246">
        <f t="shared" si="20"/>
        <v>0</v>
      </c>
      <c r="S246">
        <f t="shared" si="21"/>
        <v>0</v>
      </c>
      <c r="T246">
        <f t="shared" si="22"/>
        <v>0</v>
      </c>
      <c r="U246">
        <f t="shared" si="23"/>
        <v>0</v>
      </c>
    </row>
    <row r="247" spans="15:21" x14ac:dyDescent="0.3">
      <c r="O247">
        <f t="shared" si="18"/>
        <v>0</v>
      </c>
      <c r="P247">
        <f t="shared" si="19"/>
        <v>0</v>
      </c>
      <c r="R247">
        <f t="shared" si="20"/>
        <v>0</v>
      </c>
      <c r="S247">
        <f t="shared" si="21"/>
        <v>0</v>
      </c>
      <c r="T247">
        <f t="shared" si="22"/>
        <v>0</v>
      </c>
      <c r="U247">
        <f t="shared" si="23"/>
        <v>0</v>
      </c>
    </row>
    <row r="248" spans="15:21" x14ac:dyDescent="0.3">
      <c r="O248">
        <f t="shared" si="18"/>
        <v>0</v>
      </c>
      <c r="P248">
        <f t="shared" si="19"/>
        <v>0</v>
      </c>
      <c r="R248">
        <f t="shared" si="20"/>
        <v>0</v>
      </c>
      <c r="S248">
        <f t="shared" si="21"/>
        <v>0</v>
      </c>
      <c r="T248">
        <f t="shared" si="22"/>
        <v>0</v>
      </c>
      <c r="U248">
        <f t="shared" si="23"/>
        <v>0</v>
      </c>
    </row>
    <row r="249" spans="15:21" x14ac:dyDescent="0.3">
      <c r="O249">
        <f t="shared" si="18"/>
        <v>0</v>
      </c>
      <c r="P249">
        <f t="shared" si="19"/>
        <v>0</v>
      </c>
      <c r="R249">
        <f t="shared" si="20"/>
        <v>0</v>
      </c>
      <c r="S249">
        <f t="shared" si="21"/>
        <v>0</v>
      </c>
      <c r="T249">
        <f t="shared" si="22"/>
        <v>0</v>
      </c>
      <c r="U249">
        <f t="shared" si="23"/>
        <v>0</v>
      </c>
    </row>
    <row r="250" spans="15:21" x14ac:dyDescent="0.3">
      <c r="O250">
        <f t="shared" si="18"/>
        <v>0</v>
      </c>
      <c r="P250">
        <f t="shared" si="19"/>
        <v>0</v>
      </c>
      <c r="R250">
        <f t="shared" si="20"/>
        <v>0</v>
      </c>
      <c r="S250">
        <f t="shared" si="21"/>
        <v>0</v>
      </c>
      <c r="T250">
        <f t="shared" si="22"/>
        <v>0</v>
      </c>
      <c r="U250">
        <f t="shared" si="23"/>
        <v>0</v>
      </c>
    </row>
    <row r="251" spans="15:21" x14ac:dyDescent="0.3">
      <c r="O251">
        <f t="shared" si="18"/>
        <v>0</v>
      </c>
      <c r="P251">
        <f t="shared" si="19"/>
        <v>0</v>
      </c>
      <c r="R251">
        <f t="shared" si="20"/>
        <v>0</v>
      </c>
      <c r="S251">
        <f t="shared" si="21"/>
        <v>0</v>
      </c>
      <c r="T251">
        <f t="shared" si="22"/>
        <v>0</v>
      </c>
      <c r="U251">
        <f t="shared" si="23"/>
        <v>0</v>
      </c>
    </row>
    <row r="252" spans="15:21" x14ac:dyDescent="0.3">
      <c r="O252">
        <f t="shared" si="18"/>
        <v>0</v>
      </c>
      <c r="P252">
        <f t="shared" si="19"/>
        <v>0</v>
      </c>
      <c r="R252">
        <f t="shared" si="20"/>
        <v>0</v>
      </c>
      <c r="S252">
        <f t="shared" si="21"/>
        <v>0</v>
      </c>
      <c r="T252">
        <f t="shared" si="22"/>
        <v>0</v>
      </c>
      <c r="U252">
        <f t="shared" si="23"/>
        <v>0</v>
      </c>
    </row>
    <row r="253" spans="15:21" x14ac:dyDescent="0.3">
      <c r="O253">
        <f t="shared" si="18"/>
        <v>0</v>
      </c>
      <c r="P253">
        <f t="shared" si="19"/>
        <v>0</v>
      </c>
      <c r="R253">
        <f t="shared" si="20"/>
        <v>0</v>
      </c>
      <c r="S253">
        <f t="shared" si="21"/>
        <v>0</v>
      </c>
      <c r="T253">
        <f t="shared" si="22"/>
        <v>0</v>
      </c>
      <c r="U253">
        <f t="shared" si="23"/>
        <v>0</v>
      </c>
    </row>
    <row r="254" spans="15:21" x14ac:dyDescent="0.3">
      <c r="O254">
        <f t="shared" si="18"/>
        <v>0</v>
      </c>
      <c r="P254">
        <f t="shared" si="19"/>
        <v>0</v>
      </c>
      <c r="R254">
        <f t="shared" si="20"/>
        <v>0</v>
      </c>
      <c r="S254">
        <f t="shared" si="21"/>
        <v>0</v>
      </c>
      <c r="T254">
        <f t="shared" si="22"/>
        <v>0</v>
      </c>
      <c r="U254">
        <f t="shared" si="23"/>
        <v>0</v>
      </c>
    </row>
    <row r="255" spans="15:21" x14ac:dyDescent="0.3">
      <c r="O255">
        <f t="shared" si="18"/>
        <v>0</v>
      </c>
      <c r="P255">
        <f t="shared" si="19"/>
        <v>0</v>
      </c>
      <c r="R255">
        <f t="shared" si="20"/>
        <v>0</v>
      </c>
      <c r="S255">
        <f t="shared" si="21"/>
        <v>0</v>
      </c>
      <c r="T255">
        <f t="shared" si="22"/>
        <v>0</v>
      </c>
      <c r="U255">
        <f t="shared" si="23"/>
        <v>0</v>
      </c>
    </row>
    <row r="256" spans="15:21" x14ac:dyDescent="0.3">
      <c r="O256">
        <f t="shared" si="18"/>
        <v>0</v>
      </c>
      <c r="P256">
        <f t="shared" si="19"/>
        <v>0</v>
      </c>
      <c r="R256">
        <f t="shared" si="20"/>
        <v>0</v>
      </c>
      <c r="S256">
        <f t="shared" si="21"/>
        <v>0</v>
      </c>
      <c r="T256">
        <f t="shared" si="22"/>
        <v>0</v>
      </c>
      <c r="U256">
        <f t="shared" si="23"/>
        <v>0</v>
      </c>
    </row>
    <row r="257" spans="15:21" x14ac:dyDescent="0.3">
      <c r="O257">
        <f t="shared" si="18"/>
        <v>0</v>
      </c>
      <c r="P257">
        <f t="shared" si="19"/>
        <v>0</v>
      </c>
      <c r="R257">
        <f t="shared" si="20"/>
        <v>0</v>
      </c>
      <c r="S257">
        <f t="shared" si="21"/>
        <v>0</v>
      </c>
      <c r="T257">
        <f t="shared" si="22"/>
        <v>0</v>
      </c>
      <c r="U257">
        <f t="shared" si="23"/>
        <v>0</v>
      </c>
    </row>
    <row r="258" spans="15:21" x14ac:dyDescent="0.3">
      <c r="O258">
        <f t="shared" ref="O258:O269" si="24">SUM(N258:N262)</f>
        <v>0</v>
      </c>
      <c r="P258">
        <f t="shared" ref="P258:P269" si="25">SUM(N258:N267)</f>
        <v>0</v>
      </c>
      <c r="R258">
        <f t="shared" ref="R258:R269" si="26">SUM(E258:E267)/10</f>
        <v>0</v>
      </c>
      <c r="S258">
        <f t="shared" ref="S258:S269" si="27">R258-R259</f>
        <v>0</v>
      </c>
      <c r="T258">
        <f t="shared" ref="T258:T269" si="28">SUM(E258:E307)/50</f>
        <v>0</v>
      </c>
      <c r="U258">
        <f t="shared" ref="U258:U269" si="29">T258-T259</f>
        <v>0</v>
      </c>
    </row>
    <row r="259" spans="15:21" x14ac:dyDescent="0.3">
      <c r="O259">
        <f t="shared" si="24"/>
        <v>0</v>
      </c>
      <c r="P259">
        <f t="shared" si="25"/>
        <v>0</v>
      </c>
      <c r="R259">
        <f t="shared" si="26"/>
        <v>0</v>
      </c>
      <c r="S259">
        <f t="shared" si="27"/>
        <v>0</v>
      </c>
      <c r="T259">
        <f t="shared" si="28"/>
        <v>0</v>
      </c>
      <c r="U259">
        <f t="shared" si="29"/>
        <v>0</v>
      </c>
    </row>
    <row r="260" spans="15:21" x14ac:dyDescent="0.3">
      <c r="O260">
        <f t="shared" si="24"/>
        <v>0</v>
      </c>
      <c r="P260">
        <f t="shared" si="25"/>
        <v>0</v>
      </c>
      <c r="R260">
        <f t="shared" si="26"/>
        <v>0</v>
      </c>
      <c r="S260">
        <f t="shared" si="27"/>
        <v>0</v>
      </c>
      <c r="T260">
        <f t="shared" si="28"/>
        <v>0</v>
      </c>
      <c r="U260">
        <f t="shared" si="29"/>
        <v>0</v>
      </c>
    </row>
    <row r="261" spans="15:21" x14ac:dyDescent="0.3">
      <c r="O261">
        <f t="shared" si="24"/>
        <v>0</v>
      </c>
      <c r="P261">
        <f t="shared" si="25"/>
        <v>0</v>
      </c>
      <c r="R261">
        <f t="shared" si="26"/>
        <v>0</v>
      </c>
      <c r="S261">
        <f t="shared" si="27"/>
        <v>0</v>
      </c>
      <c r="T261">
        <f t="shared" si="28"/>
        <v>0</v>
      </c>
      <c r="U261">
        <f t="shared" si="29"/>
        <v>0</v>
      </c>
    </row>
    <row r="262" spans="15:21" x14ac:dyDescent="0.3">
      <c r="O262">
        <f t="shared" si="24"/>
        <v>0</v>
      </c>
      <c r="P262">
        <f t="shared" si="25"/>
        <v>0</v>
      </c>
      <c r="R262">
        <f t="shared" si="26"/>
        <v>0</v>
      </c>
      <c r="S262">
        <f t="shared" si="27"/>
        <v>0</v>
      </c>
      <c r="T262">
        <f t="shared" si="28"/>
        <v>0</v>
      </c>
      <c r="U262">
        <f t="shared" si="29"/>
        <v>0</v>
      </c>
    </row>
    <row r="263" spans="15:21" x14ac:dyDescent="0.3">
      <c r="O263">
        <f t="shared" si="24"/>
        <v>0</v>
      </c>
      <c r="P263">
        <f t="shared" si="25"/>
        <v>0</v>
      </c>
      <c r="R263">
        <f t="shared" si="26"/>
        <v>0</v>
      </c>
      <c r="S263">
        <f t="shared" si="27"/>
        <v>0</v>
      </c>
      <c r="T263">
        <f t="shared" si="28"/>
        <v>0</v>
      </c>
      <c r="U263">
        <f t="shared" si="29"/>
        <v>0</v>
      </c>
    </row>
    <row r="264" spans="15:21" x14ac:dyDescent="0.3">
      <c r="O264">
        <f t="shared" si="24"/>
        <v>0</v>
      </c>
      <c r="P264">
        <f t="shared" si="25"/>
        <v>0</v>
      </c>
      <c r="R264">
        <f t="shared" si="26"/>
        <v>0</v>
      </c>
      <c r="S264">
        <f t="shared" si="27"/>
        <v>0</v>
      </c>
      <c r="T264">
        <f t="shared" si="28"/>
        <v>0</v>
      </c>
      <c r="U264">
        <f t="shared" si="29"/>
        <v>0</v>
      </c>
    </row>
    <row r="265" spans="15:21" x14ac:dyDescent="0.3">
      <c r="O265">
        <f t="shared" si="24"/>
        <v>0</v>
      </c>
      <c r="P265">
        <f t="shared" si="25"/>
        <v>0</v>
      </c>
      <c r="R265">
        <f t="shared" si="26"/>
        <v>0</v>
      </c>
      <c r="S265">
        <f t="shared" si="27"/>
        <v>0</v>
      </c>
      <c r="T265">
        <f t="shared" si="28"/>
        <v>0</v>
      </c>
      <c r="U265">
        <f t="shared" si="29"/>
        <v>0</v>
      </c>
    </row>
    <row r="266" spans="15:21" x14ac:dyDescent="0.3">
      <c r="O266">
        <f t="shared" si="24"/>
        <v>0</v>
      </c>
      <c r="P266">
        <f t="shared" si="25"/>
        <v>0</v>
      </c>
      <c r="R266">
        <f t="shared" si="26"/>
        <v>0</v>
      </c>
      <c r="S266">
        <f t="shared" si="27"/>
        <v>0</v>
      </c>
      <c r="T266">
        <f t="shared" si="28"/>
        <v>0</v>
      </c>
      <c r="U266">
        <f t="shared" si="29"/>
        <v>0</v>
      </c>
    </row>
    <row r="267" spans="15:21" x14ac:dyDescent="0.3">
      <c r="O267">
        <f t="shared" si="24"/>
        <v>0</v>
      </c>
      <c r="P267">
        <f t="shared" si="25"/>
        <v>0</v>
      </c>
      <c r="R267">
        <f t="shared" si="26"/>
        <v>0</v>
      </c>
      <c r="S267">
        <f t="shared" si="27"/>
        <v>0</v>
      </c>
      <c r="T267">
        <f t="shared" si="28"/>
        <v>0</v>
      </c>
      <c r="U267">
        <f t="shared" si="29"/>
        <v>0</v>
      </c>
    </row>
    <row r="268" spans="15:21" x14ac:dyDescent="0.3">
      <c r="O268">
        <f t="shared" si="24"/>
        <v>0</v>
      </c>
      <c r="P268">
        <f t="shared" si="25"/>
        <v>0</v>
      </c>
      <c r="R268">
        <f t="shared" si="26"/>
        <v>0</v>
      </c>
      <c r="S268">
        <f t="shared" si="27"/>
        <v>0</v>
      </c>
      <c r="T268">
        <f t="shared" si="28"/>
        <v>0</v>
      </c>
      <c r="U268">
        <f t="shared" si="29"/>
        <v>0</v>
      </c>
    </row>
    <row r="269" spans="15:21" x14ac:dyDescent="0.3">
      <c r="O269">
        <f t="shared" si="24"/>
        <v>0</v>
      </c>
      <c r="P269">
        <f t="shared" si="25"/>
        <v>0</v>
      </c>
      <c r="R269">
        <f t="shared" si="26"/>
        <v>0</v>
      </c>
      <c r="S269">
        <f t="shared" si="27"/>
        <v>0</v>
      </c>
      <c r="T269">
        <f t="shared" si="28"/>
        <v>0</v>
      </c>
      <c r="U269">
        <f t="shared" si="29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5Min</vt:lpstr>
      <vt:lpstr>minutes_1</vt:lpstr>
      <vt:lpstr>minutes_5</vt:lpstr>
      <vt:lpstr>minutes_15</vt:lpstr>
      <vt:lpstr>hours_1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venkatesh</cp:lastModifiedBy>
  <dcterms:created xsi:type="dcterms:W3CDTF">2025-04-29T07:24:29Z</dcterms:created>
  <dcterms:modified xsi:type="dcterms:W3CDTF">2025-04-29T08:11:34Z</dcterms:modified>
</cp:coreProperties>
</file>