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ve\Sai\StockMarket\APICoding\data\Reports\"/>
    </mc:Choice>
  </mc:AlternateContent>
  <xr:revisionPtr revIDLastSave="0" documentId="13_ncr:1_{F8BFEA4A-6B40-4839-89D3-3490C0441B69}" xr6:coauthVersionLast="47" xr6:coauthVersionMax="47" xr10:uidLastSave="{00000000-0000-0000-0000-000000000000}"/>
  <bookViews>
    <workbookView xWindow="-108" yWindow="-108" windowWidth="23256" windowHeight="12456" xr2:uid="{FEC59B67-9194-481D-8274-2E22169387DB}"/>
  </bookViews>
  <sheets>
    <sheet name="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3" i="1" l="1"/>
  <c r="J143" i="1"/>
  <c r="I143" i="1"/>
  <c r="H143" i="1"/>
  <c r="G143" i="1"/>
  <c r="F143" i="1"/>
  <c r="E143" i="1"/>
  <c r="D143" i="1"/>
  <c r="C143" i="1"/>
  <c r="B143" i="1"/>
  <c r="K142" i="1"/>
  <c r="J142" i="1"/>
  <c r="I142" i="1"/>
  <c r="H142" i="1"/>
  <c r="G142" i="1"/>
  <c r="F142" i="1"/>
  <c r="E142" i="1"/>
  <c r="D142" i="1"/>
  <c r="C142" i="1"/>
  <c r="B142" i="1"/>
  <c r="K141" i="1"/>
  <c r="J141" i="1"/>
  <c r="I141" i="1"/>
  <c r="H141" i="1"/>
  <c r="G141" i="1"/>
  <c r="F141" i="1"/>
  <c r="E141" i="1"/>
  <c r="D141" i="1"/>
  <c r="C141" i="1"/>
  <c r="B141" i="1"/>
  <c r="K140" i="1"/>
  <c r="J140" i="1"/>
  <c r="I140" i="1"/>
  <c r="H140" i="1"/>
  <c r="G140" i="1"/>
  <c r="F140" i="1"/>
  <c r="E140" i="1"/>
  <c r="D140" i="1"/>
  <c r="C140" i="1"/>
  <c r="B140" i="1"/>
  <c r="K139" i="1"/>
  <c r="J139" i="1"/>
  <c r="I139" i="1"/>
  <c r="H139" i="1"/>
  <c r="G139" i="1"/>
  <c r="F139" i="1"/>
  <c r="E139" i="1"/>
  <c r="D139" i="1"/>
  <c r="C139" i="1"/>
  <c r="B139" i="1"/>
  <c r="K138" i="1"/>
  <c r="J138" i="1"/>
  <c r="I138" i="1"/>
  <c r="H138" i="1"/>
  <c r="G138" i="1"/>
  <c r="F138" i="1"/>
  <c r="E138" i="1"/>
  <c r="D138" i="1"/>
  <c r="C138" i="1"/>
  <c r="B138" i="1"/>
  <c r="K137" i="1"/>
  <c r="J137" i="1"/>
  <c r="I137" i="1"/>
  <c r="H137" i="1"/>
  <c r="G137" i="1"/>
  <c r="F137" i="1"/>
  <c r="E137" i="1"/>
  <c r="D137" i="1"/>
  <c r="C137" i="1"/>
  <c r="B137" i="1"/>
  <c r="K136" i="1"/>
  <c r="J136" i="1"/>
  <c r="I136" i="1"/>
  <c r="H136" i="1"/>
  <c r="G136" i="1"/>
  <c r="F136" i="1"/>
  <c r="E136" i="1"/>
  <c r="D136" i="1"/>
  <c r="C136" i="1"/>
  <c r="B136" i="1"/>
  <c r="K134" i="1"/>
  <c r="J134" i="1"/>
  <c r="I134" i="1"/>
  <c r="H134" i="1"/>
  <c r="G134" i="1"/>
  <c r="F134" i="1"/>
  <c r="E134" i="1"/>
  <c r="D134" i="1"/>
  <c r="C134" i="1"/>
  <c r="B134" i="1"/>
  <c r="K133" i="1"/>
  <c r="J133" i="1"/>
  <c r="I133" i="1"/>
  <c r="H133" i="1"/>
  <c r="G133" i="1"/>
  <c r="F133" i="1"/>
  <c r="E133" i="1"/>
  <c r="D133" i="1"/>
  <c r="C133" i="1"/>
  <c r="B133" i="1"/>
  <c r="K132" i="1"/>
  <c r="J132" i="1"/>
  <c r="I132" i="1"/>
  <c r="H132" i="1"/>
  <c r="G132" i="1"/>
  <c r="F132" i="1"/>
  <c r="E132" i="1"/>
  <c r="D132" i="1"/>
  <c r="C132" i="1"/>
  <c r="B132" i="1"/>
  <c r="K131" i="1"/>
  <c r="J131" i="1"/>
  <c r="I131" i="1"/>
  <c r="H131" i="1"/>
  <c r="G131" i="1"/>
  <c r="F131" i="1"/>
  <c r="E131" i="1"/>
  <c r="D131" i="1"/>
  <c r="C131" i="1"/>
  <c r="B131" i="1"/>
  <c r="K130" i="1"/>
  <c r="J130" i="1"/>
  <c r="I130" i="1"/>
  <c r="H130" i="1"/>
  <c r="G130" i="1"/>
  <c r="F130" i="1"/>
  <c r="E130" i="1"/>
  <c r="D130" i="1"/>
  <c r="C130" i="1"/>
  <c r="B130" i="1"/>
  <c r="K129" i="1"/>
  <c r="J129" i="1"/>
  <c r="I129" i="1"/>
  <c r="H129" i="1"/>
  <c r="G129" i="1"/>
  <c r="F129" i="1"/>
  <c r="E129" i="1"/>
  <c r="D129" i="1"/>
  <c r="C129" i="1"/>
  <c r="B129" i="1"/>
  <c r="K128" i="1"/>
  <c r="J128" i="1"/>
  <c r="I128" i="1"/>
  <c r="H128" i="1"/>
  <c r="G128" i="1"/>
  <c r="F128" i="1"/>
  <c r="E128" i="1"/>
  <c r="D128" i="1"/>
  <c r="C128" i="1"/>
  <c r="B128" i="1"/>
  <c r="K127" i="1"/>
  <c r="J127" i="1"/>
  <c r="I127" i="1"/>
  <c r="H127" i="1"/>
  <c r="G127" i="1"/>
  <c r="F127" i="1"/>
  <c r="E127" i="1"/>
  <c r="D127" i="1"/>
  <c r="C127" i="1"/>
  <c r="B127" i="1"/>
  <c r="K126" i="1"/>
  <c r="J126" i="1"/>
  <c r="I126" i="1"/>
  <c r="H126" i="1"/>
  <c r="G126" i="1"/>
  <c r="F126" i="1"/>
  <c r="E126" i="1"/>
  <c r="D126" i="1"/>
  <c r="C126" i="1"/>
  <c r="B126" i="1"/>
  <c r="K125" i="1"/>
  <c r="J125" i="1"/>
  <c r="I125" i="1"/>
  <c r="H125" i="1"/>
  <c r="G125" i="1"/>
  <c r="F125" i="1"/>
  <c r="E125" i="1"/>
  <c r="D125" i="1"/>
  <c r="C125" i="1"/>
  <c r="B12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C115" i="1"/>
  <c r="D115" i="1"/>
  <c r="E115" i="1"/>
  <c r="F115" i="1"/>
  <c r="G115" i="1"/>
  <c r="H115" i="1"/>
  <c r="I115" i="1"/>
  <c r="J115" i="1"/>
  <c r="K115" i="1"/>
  <c r="B115" i="1"/>
  <c r="B103" i="1"/>
  <c r="B104" i="1"/>
  <c r="B105" i="1"/>
  <c r="B106" i="1"/>
  <c r="B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C102" i="1"/>
  <c r="D102" i="1"/>
  <c r="E102" i="1"/>
  <c r="F102" i="1"/>
  <c r="G102" i="1"/>
  <c r="H102" i="1"/>
  <c r="I102" i="1"/>
  <c r="J102" i="1"/>
  <c r="K102" i="1"/>
  <c r="K27" i="1" l="1"/>
  <c r="C22" i="1"/>
  <c r="K26" i="1"/>
  <c r="K25" i="1"/>
  <c r="D103" i="1"/>
  <c r="E106" i="1"/>
  <c r="E103" i="1"/>
  <c r="I103" i="1"/>
  <c r="D104" i="1"/>
  <c r="H104" i="1"/>
  <c r="C105" i="1"/>
  <c r="G105" i="1"/>
  <c r="K105" i="1"/>
  <c r="F106" i="1"/>
  <c r="J106" i="1"/>
  <c r="E107" i="1"/>
  <c r="I107" i="1"/>
  <c r="F103" i="1"/>
  <c r="J103" i="1"/>
  <c r="E104" i="1"/>
  <c r="I104" i="1"/>
  <c r="D105" i="1"/>
  <c r="H105" i="1"/>
  <c r="C106" i="1"/>
  <c r="G106" i="1"/>
  <c r="K106" i="1"/>
  <c r="F107" i="1"/>
  <c r="J107" i="1"/>
  <c r="C104" i="1"/>
  <c r="K104" i="1"/>
  <c r="F105" i="1"/>
  <c r="D107" i="1"/>
  <c r="H103" i="1"/>
  <c r="G104" i="1"/>
  <c r="J105" i="1"/>
  <c r="I106" i="1"/>
  <c r="H107" i="1"/>
  <c r="C103" i="1"/>
  <c r="G103" i="1"/>
  <c r="K103" i="1"/>
  <c r="F104" i="1"/>
  <c r="J104" i="1"/>
  <c r="E105" i="1"/>
  <c r="I105" i="1"/>
  <c r="D106" i="1"/>
  <c r="H106" i="1"/>
  <c r="C107" i="1"/>
  <c r="G107" i="1"/>
  <c r="K107" i="1"/>
  <c r="B102" i="1" l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C92" i="1"/>
  <c r="D92" i="1"/>
  <c r="E92" i="1"/>
  <c r="F92" i="1"/>
  <c r="G92" i="1"/>
  <c r="H92" i="1"/>
  <c r="I92" i="1"/>
  <c r="J92" i="1"/>
  <c r="K92" i="1"/>
  <c r="B92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C80" i="1"/>
  <c r="D80" i="1"/>
  <c r="E80" i="1"/>
  <c r="F80" i="1"/>
  <c r="G80" i="1"/>
  <c r="H80" i="1"/>
  <c r="I80" i="1"/>
  <c r="J80" i="1"/>
  <c r="K80" i="1"/>
  <c r="B80" i="1"/>
  <c r="K78" i="1"/>
  <c r="J78" i="1"/>
  <c r="I78" i="1"/>
  <c r="H78" i="1"/>
  <c r="G78" i="1"/>
  <c r="F78" i="1"/>
  <c r="E78" i="1"/>
  <c r="D78" i="1"/>
  <c r="C78" i="1"/>
  <c r="B78" i="1"/>
  <c r="K77" i="1"/>
  <c r="J77" i="1"/>
  <c r="I77" i="1"/>
  <c r="H77" i="1"/>
  <c r="G77" i="1"/>
  <c r="F77" i="1"/>
  <c r="E77" i="1"/>
  <c r="D77" i="1"/>
  <c r="C77" i="1"/>
  <c r="B77" i="1"/>
  <c r="K76" i="1"/>
  <c r="J76" i="1"/>
  <c r="I76" i="1"/>
  <c r="H76" i="1"/>
  <c r="G76" i="1"/>
  <c r="F76" i="1"/>
  <c r="E76" i="1"/>
  <c r="D76" i="1"/>
  <c r="C76" i="1"/>
  <c r="B76" i="1"/>
  <c r="K75" i="1"/>
  <c r="J75" i="1"/>
  <c r="I75" i="1"/>
  <c r="H75" i="1"/>
  <c r="G75" i="1"/>
  <c r="F75" i="1"/>
  <c r="E75" i="1"/>
  <c r="D75" i="1"/>
  <c r="C75" i="1"/>
  <c r="B75" i="1"/>
  <c r="K74" i="1"/>
  <c r="J74" i="1"/>
  <c r="I74" i="1"/>
  <c r="H74" i="1"/>
  <c r="G74" i="1"/>
  <c r="F74" i="1"/>
  <c r="E74" i="1"/>
  <c r="D74" i="1"/>
  <c r="C74" i="1"/>
  <c r="B74" i="1"/>
  <c r="B73" i="1"/>
  <c r="B72" i="1"/>
  <c r="B71" i="1"/>
  <c r="B70" i="1"/>
  <c r="K69" i="1"/>
  <c r="J69" i="1"/>
  <c r="I69" i="1"/>
  <c r="H69" i="1"/>
  <c r="G69" i="1"/>
  <c r="F69" i="1"/>
  <c r="E69" i="1"/>
  <c r="D69" i="1"/>
  <c r="C69" i="1"/>
  <c r="B6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C59" i="1"/>
  <c r="D59" i="1"/>
  <c r="E59" i="1"/>
  <c r="F59" i="1"/>
  <c r="G59" i="1"/>
  <c r="H59" i="1"/>
  <c r="I59" i="1"/>
  <c r="J59" i="1"/>
  <c r="K59" i="1"/>
  <c r="B59" i="1"/>
  <c r="B49" i="1"/>
  <c r="B50" i="1"/>
  <c r="B51" i="1"/>
  <c r="B52" i="1"/>
  <c r="B53" i="1"/>
  <c r="B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C48" i="1"/>
  <c r="D48" i="1"/>
  <c r="E48" i="1"/>
  <c r="F48" i="1"/>
  <c r="G48" i="1"/>
  <c r="H48" i="1"/>
  <c r="I48" i="1"/>
  <c r="J48" i="1"/>
  <c r="K48" i="1"/>
  <c r="B48" i="1"/>
  <c r="F54" i="1" l="1"/>
  <c r="J54" i="1"/>
  <c r="I54" i="1"/>
  <c r="E54" i="1"/>
  <c r="D54" i="1"/>
  <c r="H54" i="1"/>
  <c r="K54" i="1"/>
  <c r="G54" i="1"/>
  <c r="C54" i="1"/>
  <c r="G50" i="1"/>
  <c r="I49" i="1"/>
  <c r="H50" i="1"/>
  <c r="G51" i="1"/>
  <c r="F52" i="1"/>
  <c r="E53" i="1"/>
  <c r="D53" i="1"/>
  <c r="H49" i="1"/>
  <c r="H53" i="1"/>
  <c r="K50" i="1"/>
  <c r="I52" i="1"/>
  <c r="I53" i="1"/>
  <c r="E52" i="1"/>
  <c r="K51" i="1"/>
  <c r="D49" i="1"/>
  <c r="E49" i="1"/>
  <c r="D50" i="1"/>
  <c r="J52" i="1"/>
  <c r="F51" i="1"/>
  <c r="C50" i="1"/>
  <c r="C51" i="1"/>
  <c r="F49" i="1"/>
  <c r="J49" i="1"/>
  <c r="E50" i="1"/>
  <c r="I50" i="1"/>
  <c r="D51" i="1"/>
  <c r="H51" i="1"/>
  <c r="C52" i="1"/>
  <c r="G52" i="1"/>
  <c r="K52" i="1"/>
  <c r="F53" i="1"/>
  <c r="J53" i="1"/>
  <c r="C49" i="1"/>
  <c r="G49" i="1"/>
  <c r="K49" i="1"/>
  <c r="F50" i="1"/>
  <c r="E51" i="1"/>
  <c r="D52" i="1"/>
  <c r="H52" i="1"/>
  <c r="C53" i="1"/>
  <c r="G53" i="1"/>
  <c r="K53" i="1"/>
  <c r="I51" i="1" l="1"/>
  <c r="J50" i="1"/>
  <c r="J51" i="1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21" i="1"/>
  <c r="J21" i="1"/>
  <c r="I21" i="1"/>
  <c r="H21" i="1"/>
  <c r="G21" i="1"/>
  <c r="F21" i="1"/>
  <c r="E21" i="1"/>
  <c r="D21" i="1"/>
  <c r="B14" i="1"/>
  <c r="B13" i="1"/>
  <c r="B12" i="1"/>
  <c r="B11" i="1"/>
  <c r="B10" i="1"/>
  <c r="B9" i="1"/>
  <c r="B8" i="1"/>
  <c r="B7" i="1"/>
  <c r="B6" i="1"/>
  <c r="B5" i="1"/>
  <c r="B4" i="1"/>
  <c r="B3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C21" i="1"/>
  <c r="F42" i="1" l="1"/>
  <c r="J42" i="1"/>
  <c r="I42" i="1"/>
  <c r="E42" i="1"/>
  <c r="H42" i="1"/>
  <c r="D42" i="1"/>
  <c r="K42" i="1"/>
  <c r="G42" i="1"/>
  <c r="C42" i="1"/>
  <c r="D22" i="1"/>
  <c r="H22" i="1"/>
  <c r="C23" i="1"/>
  <c r="G23" i="1"/>
  <c r="F24" i="1"/>
  <c r="J24" i="1"/>
  <c r="E25" i="1"/>
  <c r="I25" i="1"/>
  <c r="D26" i="1"/>
  <c r="H26" i="1"/>
  <c r="C27" i="1"/>
  <c r="G27" i="1"/>
  <c r="F28" i="1"/>
  <c r="J28" i="1"/>
  <c r="E29" i="1"/>
  <c r="I29" i="1"/>
  <c r="D30" i="1"/>
  <c r="H30" i="1"/>
  <c r="C31" i="1"/>
  <c r="G31" i="1"/>
  <c r="K31" i="1"/>
  <c r="F32" i="1"/>
  <c r="J32" i="1"/>
  <c r="E33" i="1"/>
  <c r="I33" i="1"/>
  <c r="D34" i="1"/>
  <c r="H34" i="1"/>
  <c r="C35" i="1"/>
  <c r="G35" i="1"/>
  <c r="K35" i="1"/>
  <c r="F36" i="1"/>
  <c r="E37" i="1"/>
  <c r="I37" i="1"/>
  <c r="D38" i="1"/>
  <c r="H38" i="1"/>
  <c r="C39" i="1"/>
  <c r="G39" i="1"/>
  <c r="K39" i="1"/>
  <c r="F40" i="1"/>
  <c r="J40" i="1"/>
  <c r="E41" i="1"/>
  <c r="I41" i="1"/>
  <c r="I22" i="1"/>
  <c r="G24" i="1"/>
  <c r="J25" i="1"/>
  <c r="C28" i="1"/>
  <c r="J29" i="1"/>
  <c r="C32" i="1"/>
  <c r="F33" i="1"/>
  <c r="D35" i="1"/>
  <c r="G36" i="1"/>
  <c r="E38" i="1"/>
  <c r="C40" i="1"/>
  <c r="F41" i="1"/>
  <c r="C24" i="1"/>
  <c r="E26" i="1"/>
  <c r="K28" i="1"/>
  <c r="I30" i="1"/>
  <c r="K32" i="1"/>
  <c r="I34" i="1"/>
  <c r="C36" i="1"/>
  <c r="F37" i="1"/>
  <c r="H39" i="1"/>
  <c r="D23" i="1"/>
  <c r="K24" i="1"/>
  <c r="D27" i="1"/>
  <c r="F29" i="1"/>
  <c r="D31" i="1"/>
  <c r="G32" i="1"/>
  <c r="E34" i="1"/>
  <c r="H35" i="1"/>
  <c r="K36" i="1"/>
  <c r="I38" i="1"/>
  <c r="G40" i="1"/>
  <c r="K40" i="1"/>
  <c r="F22" i="1"/>
  <c r="J22" i="1"/>
  <c r="E23" i="1"/>
  <c r="I23" i="1"/>
  <c r="D24" i="1"/>
  <c r="H24" i="1"/>
  <c r="C25" i="1"/>
  <c r="G25" i="1"/>
  <c r="F26" i="1"/>
  <c r="J26" i="1"/>
  <c r="E27" i="1"/>
  <c r="I27" i="1"/>
  <c r="D28" i="1"/>
  <c r="H28" i="1"/>
  <c r="C29" i="1"/>
  <c r="G29" i="1"/>
  <c r="K29" i="1"/>
  <c r="F30" i="1"/>
  <c r="J30" i="1"/>
  <c r="E31" i="1"/>
  <c r="I31" i="1"/>
  <c r="D32" i="1"/>
  <c r="H32" i="1"/>
  <c r="C33" i="1"/>
  <c r="G33" i="1"/>
  <c r="K33" i="1"/>
  <c r="F34" i="1"/>
  <c r="J34" i="1"/>
  <c r="E35" i="1"/>
  <c r="I35" i="1"/>
  <c r="D36" i="1"/>
  <c r="H36" i="1"/>
  <c r="C37" i="1"/>
  <c r="G37" i="1"/>
  <c r="F38" i="1"/>
  <c r="J38" i="1"/>
  <c r="E39" i="1"/>
  <c r="I39" i="1"/>
  <c r="D40" i="1"/>
  <c r="H40" i="1"/>
  <c r="C41" i="1"/>
  <c r="G41" i="1"/>
  <c r="K41" i="1"/>
  <c r="E22" i="1"/>
  <c r="H27" i="1"/>
  <c r="J37" i="1"/>
  <c r="H23" i="1"/>
  <c r="F25" i="1"/>
  <c r="I26" i="1"/>
  <c r="G28" i="1"/>
  <c r="E30" i="1"/>
  <c r="H31" i="1"/>
  <c r="J33" i="1"/>
  <c r="D39" i="1"/>
  <c r="G22" i="1"/>
  <c r="K22" i="1"/>
  <c r="F23" i="1"/>
  <c r="E24" i="1"/>
  <c r="I24" i="1"/>
  <c r="D25" i="1"/>
  <c r="H25" i="1"/>
  <c r="C26" i="1"/>
  <c r="G26" i="1"/>
  <c r="F27" i="1"/>
  <c r="J27" i="1"/>
  <c r="E28" i="1"/>
  <c r="I28" i="1"/>
  <c r="D29" i="1"/>
  <c r="H29" i="1"/>
  <c r="C30" i="1"/>
  <c r="G30" i="1"/>
  <c r="K30" i="1"/>
  <c r="F31" i="1"/>
  <c r="J31" i="1"/>
  <c r="E32" i="1"/>
  <c r="I32" i="1"/>
  <c r="D33" i="1"/>
  <c r="H33" i="1"/>
  <c r="C34" i="1"/>
  <c r="G34" i="1"/>
  <c r="K34" i="1"/>
  <c r="F35" i="1"/>
  <c r="E36" i="1"/>
  <c r="I36" i="1"/>
  <c r="D37" i="1"/>
  <c r="H37" i="1"/>
  <c r="C38" i="1"/>
  <c r="G38" i="1"/>
  <c r="F39" i="1"/>
  <c r="J39" i="1"/>
  <c r="E40" i="1"/>
  <c r="I40" i="1"/>
  <c r="D41" i="1"/>
  <c r="K23" i="1" l="1"/>
  <c r="J36" i="1"/>
  <c r="J41" i="1"/>
  <c r="K37" i="1"/>
  <c r="H41" i="1"/>
  <c r="J35" i="1"/>
  <c r="J23" i="1"/>
  <c r="K38" i="1"/>
  <c r="D3" i="1"/>
  <c r="E3" i="1"/>
  <c r="F3" i="1"/>
  <c r="G3" i="1"/>
  <c r="H3" i="1"/>
  <c r="I3" i="1"/>
  <c r="J3" i="1"/>
  <c r="K3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C13" i="1"/>
  <c r="C14" i="1"/>
  <c r="C3" i="1"/>
  <c r="J12" i="1" l="1"/>
  <c r="F12" i="1"/>
  <c r="I12" i="1"/>
  <c r="E12" i="1"/>
  <c r="H12" i="1"/>
  <c r="D12" i="1"/>
  <c r="K12" i="1"/>
  <c r="G12" i="1"/>
  <c r="C12" i="1"/>
  <c r="G7" i="1"/>
  <c r="J4" i="1"/>
  <c r="J5" i="1"/>
  <c r="F8" i="1"/>
  <c r="F9" i="1"/>
  <c r="D6" i="1"/>
  <c r="D7" i="1"/>
  <c r="I9" i="1"/>
  <c r="I10" i="1"/>
  <c r="C11" i="1"/>
  <c r="J8" i="1"/>
  <c r="G8" i="1"/>
  <c r="D10" i="1"/>
  <c r="E5" i="1"/>
  <c r="H7" i="1"/>
  <c r="D11" i="1"/>
  <c r="F4" i="1"/>
  <c r="F5" i="1"/>
  <c r="K7" i="1"/>
  <c r="K8" i="1"/>
  <c r="G11" i="1"/>
  <c r="K4" i="1"/>
  <c r="E9" i="1"/>
  <c r="E6" i="1"/>
  <c r="H6" i="1"/>
  <c r="I5" i="1"/>
  <c r="I6" i="1"/>
  <c r="E10" i="1"/>
  <c r="G4" i="1"/>
  <c r="C7" i="1"/>
  <c r="C8" i="1"/>
  <c r="H11" i="1"/>
  <c r="F10" i="1"/>
  <c r="D4" i="1"/>
  <c r="E7" i="1"/>
  <c r="I11" i="1"/>
  <c r="C5" i="1"/>
  <c r="F6" i="1"/>
  <c r="J6" i="1"/>
  <c r="D8" i="1"/>
  <c r="H8" i="1"/>
  <c r="C9" i="1"/>
  <c r="G9" i="1"/>
  <c r="K9" i="1"/>
  <c r="E11" i="1"/>
  <c r="I4" i="1"/>
  <c r="G6" i="1"/>
  <c r="F7" i="1"/>
  <c r="E8" i="1"/>
  <c r="H9" i="1"/>
  <c r="G10" i="1"/>
  <c r="J11" i="1"/>
  <c r="H4" i="1"/>
  <c r="G5" i="1"/>
  <c r="K5" i="1"/>
  <c r="I7" i="1"/>
  <c r="J10" i="1"/>
  <c r="E4" i="1"/>
  <c r="D5" i="1"/>
  <c r="C6" i="1"/>
  <c r="K6" i="1"/>
  <c r="J7" i="1"/>
  <c r="I8" i="1"/>
  <c r="D9" i="1"/>
  <c r="C10" i="1"/>
  <c r="F11" i="1"/>
  <c r="K11" i="1"/>
  <c r="C4" i="1" l="1"/>
  <c r="H10" i="1"/>
  <c r="J9" i="1"/>
  <c r="K10" i="1"/>
  <c r="H5" i="1"/>
  <c r="E71" i="1" l="1"/>
  <c r="H72" i="1"/>
  <c r="G73" i="1"/>
  <c r="E70" i="1"/>
  <c r="I70" i="1"/>
  <c r="D71" i="1"/>
  <c r="H71" i="1"/>
  <c r="C72" i="1"/>
  <c r="G72" i="1"/>
  <c r="K72" i="1"/>
  <c r="F73" i="1"/>
  <c r="J73" i="1"/>
  <c r="F70" i="1"/>
  <c r="C73" i="1"/>
  <c r="D72" i="1"/>
  <c r="C70" i="1"/>
  <c r="G70" i="1"/>
  <c r="K70" i="1"/>
  <c r="F71" i="1"/>
  <c r="J71" i="1"/>
  <c r="E72" i="1"/>
  <c r="I72" i="1"/>
  <c r="D73" i="1"/>
  <c r="H73" i="1"/>
  <c r="J70" i="1"/>
  <c r="I71" i="1"/>
  <c r="K73" i="1"/>
  <c r="D70" i="1"/>
  <c r="H70" i="1"/>
  <c r="C71" i="1"/>
  <c r="G71" i="1"/>
  <c r="K71" i="1"/>
  <c r="F72" i="1"/>
  <c r="J72" i="1"/>
  <c r="E73" i="1"/>
  <c r="I73" i="1"/>
</calcChain>
</file>

<file path=xl/sharedStrings.xml><?xml version="1.0" encoding="utf-8"?>
<sst xmlns="http://schemas.openxmlformats.org/spreadsheetml/2006/main" count="11" uniqueCount="11">
  <si>
    <t>IT_day</t>
  </si>
  <si>
    <t>Bank_day</t>
  </si>
  <si>
    <t>Auto_day</t>
  </si>
  <si>
    <t>Metals_day</t>
  </si>
  <si>
    <t>Pharma_day</t>
  </si>
  <si>
    <t>Energy_day</t>
  </si>
  <si>
    <t>ConsumerDurables_day</t>
  </si>
  <si>
    <t>Cement_day</t>
  </si>
  <si>
    <t>Communication_day</t>
  </si>
  <si>
    <t>Entertainment_day</t>
  </si>
  <si>
    <t>Paints_day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</si>
</sst>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ve\Sai\StockMarket\APICoding\data\Reports\Pharma_day.xlsx" TargetMode="External"/><Relationship Id="rId1" Type="http://schemas.openxmlformats.org/officeDocument/2006/relationships/externalLinkPath" Target="Pharma_da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ve\Sai\StockMarket\APICoding\data\Reports\IT_day.xlsx" TargetMode="External"/><Relationship Id="rId1" Type="http://schemas.openxmlformats.org/officeDocument/2006/relationships/externalLinkPath" Target="IT_d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ve\Sai\StockMarket\APICoding\data\Reports\Bank_day.xlsx" TargetMode="External"/><Relationship Id="rId1" Type="http://schemas.openxmlformats.org/officeDocument/2006/relationships/externalLinkPath" Target="Bank_da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ve\Sai\StockMarket\APICoding\data\Reports\Auto_day.xlsx" TargetMode="External"/><Relationship Id="rId1" Type="http://schemas.openxmlformats.org/officeDocument/2006/relationships/externalLinkPath" Target="Auto_d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etals_d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_da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sumerDurables_da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ve\Sai\StockMarket\APICoding\data\Reports\Cement_day.xlsx" TargetMode="External"/><Relationship Id="rId1" Type="http://schemas.openxmlformats.org/officeDocument/2006/relationships/externalLinkPath" Target="Cement_da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mmunication_da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ntertainment_da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aints_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GLENMARK"/>
      <sheetName val="SUNPHARMA"/>
      <sheetName val="TORNTPHARM"/>
      <sheetName val="ZYDUSLIFE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GLENMARK</v>
          </cell>
          <cell r="C6">
            <v>1360.7</v>
          </cell>
          <cell r="D6">
            <v>1378.4199999999998</v>
          </cell>
          <cell r="E6">
            <v>1414.3469999999998</v>
          </cell>
          <cell r="F6">
            <v>1469.5114999999996</v>
          </cell>
          <cell r="G6">
            <v>1535.7547500000003</v>
          </cell>
          <cell r="H6">
            <v>-8.0099999999999909</v>
          </cell>
          <cell r="I6">
            <v>-2.7830000000003565</v>
          </cell>
          <cell r="J6">
            <v>-1.3445000000001528</v>
          </cell>
          <cell r="K6">
            <v>0.32600000000002183</v>
          </cell>
        </row>
        <row r="7">
          <cell r="B7" t="str">
            <v>SUNPHARMA</v>
          </cell>
          <cell r="C7">
            <v>1787.4</v>
          </cell>
          <cell r="D7">
            <v>1736.175</v>
          </cell>
          <cell r="E7">
            <v>1698.1550000000007</v>
          </cell>
          <cell r="F7">
            <v>1749.4475000000007</v>
          </cell>
          <cell r="G7">
            <v>1768.4240000000004</v>
          </cell>
          <cell r="H7">
            <v>9.9049999999999727</v>
          </cell>
          <cell r="I7">
            <v>0.90799999999990177</v>
          </cell>
          <cell r="J7">
            <v>0.53150000000005093</v>
          </cell>
          <cell r="K7">
            <v>1.147499999999809</v>
          </cell>
        </row>
        <row r="8">
          <cell r="B8" t="str">
            <v>TORNTPHARM</v>
          </cell>
          <cell r="C8">
            <v>3238.9</v>
          </cell>
          <cell r="D8">
            <v>3235.2499999999995</v>
          </cell>
          <cell r="E8">
            <v>3143.1110000000003</v>
          </cell>
          <cell r="F8">
            <v>3227.6804999999999</v>
          </cell>
          <cell r="G8">
            <v>3256.2157500000003</v>
          </cell>
          <cell r="H8">
            <v>-0.76999999999998181</v>
          </cell>
          <cell r="I8">
            <v>1.5529999999998836</v>
          </cell>
          <cell r="J8">
            <v>0.35949999999957072</v>
          </cell>
          <cell r="K8">
            <v>1.8429999999993925</v>
          </cell>
        </row>
        <row r="9">
          <cell r="B9" t="str">
            <v>ZYDUSLIFE</v>
          </cell>
          <cell r="C9">
            <v>859.65</v>
          </cell>
          <cell r="D9">
            <v>855.60000000000014</v>
          </cell>
          <cell r="E9">
            <v>891.61100000000022</v>
          </cell>
          <cell r="F9">
            <v>933.72850000000017</v>
          </cell>
          <cell r="G9">
            <v>1014.17625</v>
          </cell>
          <cell r="H9">
            <v>5.5000000000291038E-2</v>
          </cell>
          <cell r="I9">
            <v>-2.9709999999997763</v>
          </cell>
          <cell r="J9">
            <v>-0.89049999999997453</v>
          </cell>
          <cell r="K9">
            <v>-1.3869999999999436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SOFT"/>
      <sheetName val="HCLTECH"/>
      <sheetName val="INFY"/>
      <sheetName val="MPHASIS"/>
      <sheetName val="NAUKRI"/>
      <sheetName val="TCS"/>
      <sheetName val="TECHM"/>
      <sheetName val="WIPRO"/>
      <sheetName val="COFORGE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BSOFT</v>
          </cell>
          <cell r="C6">
            <v>390</v>
          </cell>
          <cell r="D6">
            <v>381.77000000000004</v>
          </cell>
          <cell r="E6">
            <v>416.69399999999996</v>
          </cell>
          <cell r="F6">
            <v>488.85749999999985</v>
          </cell>
          <cell r="G6">
            <v>554.15974999999992</v>
          </cell>
          <cell r="H6">
            <v>3.3300000000000409</v>
          </cell>
          <cell r="I6">
            <v>-2.8869999999999436</v>
          </cell>
          <cell r="J6">
            <v>-2.0065000000000168</v>
          </cell>
          <cell r="K6">
            <v>-1.6235000000000355</v>
          </cell>
        </row>
        <row r="7">
          <cell r="B7" t="str">
            <v>HCLTECH</v>
          </cell>
          <cell r="C7">
            <v>1549.3</v>
          </cell>
          <cell r="D7">
            <v>1495.6849999999999</v>
          </cell>
          <cell r="E7">
            <v>1571.0359999999998</v>
          </cell>
          <cell r="F7">
            <v>1715.317</v>
          </cell>
          <cell r="G7">
            <v>1728.8432499999988</v>
          </cell>
          <cell r="H7">
            <v>16.930000000000064</v>
          </cell>
          <cell r="I7">
            <v>-3.5270000000000437</v>
          </cell>
          <cell r="J7">
            <v>-2.9875000000001819</v>
          </cell>
          <cell r="K7">
            <v>0.14949999999953434</v>
          </cell>
        </row>
        <row r="8">
          <cell r="B8" t="str">
            <v>INFY</v>
          </cell>
          <cell r="C8">
            <v>1482.1</v>
          </cell>
          <cell r="D8">
            <v>1445.0450000000003</v>
          </cell>
          <cell r="E8">
            <v>1623.703</v>
          </cell>
          <cell r="F8">
            <v>1766.5914999999993</v>
          </cell>
          <cell r="G8">
            <v>1812.0230000000001</v>
          </cell>
          <cell r="H8">
            <v>7.8400000000001455</v>
          </cell>
          <cell r="I8">
            <v>-8.4309999999995853</v>
          </cell>
          <cell r="J8">
            <v>-3.7574999999999363</v>
          </cell>
          <cell r="K8">
            <v>-0.82675000000017462</v>
          </cell>
        </row>
        <row r="9">
          <cell r="B9" t="str">
            <v>MPHASIS</v>
          </cell>
          <cell r="C9">
            <v>2503.4</v>
          </cell>
          <cell r="D9">
            <v>2377.0950000000003</v>
          </cell>
          <cell r="E9">
            <v>2401.4499999999998</v>
          </cell>
          <cell r="F9">
            <v>2672.0100000000007</v>
          </cell>
          <cell r="G9">
            <v>2798.9687500000005</v>
          </cell>
          <cell r="H9">
            <v>38.580000000000382</v>
          </cell>
          <cell r="I9">
            <v>-7.3020000000001346</v>
          </cell>
          <cell r="J9">
            <v>-4.711500000000342</v>
          </cell>
          <cell r="K9">
            <v>-0.62750000000005457</v>
          </cell>
        </row>
        <row r="10">
          <cell r="B10" t="str">
            <v>NAUKRI</v>
          </cell>
          <cell r="C10">
            <v>6977.5</v>
          </cell>
          <cell r="D10">
            <v>6893.93</v>
          </cell>
          <cell r="E10">
            <v>6992.4130000000005</v>
          </cell>
          <cell r="F10">
            <v>7574.4285000000018</v>
          </cell>
          <cell r="G10">
            <v>7583.7492499999989</v>
          </cell>
          <cell r="H10">
            <v>57.074999999999818</v>
          </cell>
          <cell r="I10">
            <v>-17.651999999999134</v>
          </cell>
          <cell r="J10">
            <v>-12.778000000001157</v>
          </cell>
          <cell r="K10">
            <v>0.83999999999923602</v>
          </cell>
        </row>
        <row r="11">
          <cell r="B11" t="str">
            <v>TCS</v>
          </cell>
          <cell r="C11">
            <v>3443.5</v>
          </cell>
          <cell r="D11">
            <v>3339.45</v>
          </cell>
          <cell r="E11">
            <v>3563.2940000000003</v>
          </cell>
          <cell r="F11">
            <v>3881.7464999999997</v>
          </cell>
          <cell r="G11">
            <v>4070.8899999999994</v>
          </cell>
          <cell r="H11">
            <v>19.690000000000055</v>
          </cell>
          <cell r="I11">
            <v>-11.717999999999847</v>
          </cell>
          <cell r="J11">
            <v>-8.2734999999997854</v>
          </cell>
          <cell r="K11">
            <v>-2.8415000000004511</v>
          </cell>
        </row>
        <row r="12">
          <cell r="B12" t="str">
            <v>TECHM</v>
          </cell>
          <cell r="C12">
            <v>1461.5</v>
          </cell>
          <cell r="D12">
            <v>1375.7750000000001</v>
          </cell>
          <cell r="E12">
            <v>1475.81</v>
          </cell>
          <cell r="F12">
            <v>1591.1299999999997</v>
          </cell>
          <cell r="G12">
            <v>1602.0077499999998</v>
          </cell>
          <cell r="H12">
            <v>18.875</v>
          </cell>
          <cell r="I12">
            <v>-4.61200000000008</v>
          </cell>
          <cell r="J12">
            <v>-2.5080000000000382</v>
          </cell>
          <cell r="K12">
            <v>7.5000000015279511E-4</v>
          </cell>
        </row>
        <row r="13">
          <cell r="B13" t="str">
            <v>WIPRO</v>
          </cell>
          <cell r="C13">
            <v>240.5</v>
          </cell>
          <cell r="D13">
            <v>240.86500000000007</v>
          </cell>
          <cell r="E13">
            <v>272.09799999999996</v>
          </cell>
          <cell r="F13">
            <v>288.03649999999982</v>
          </cell>
          <cell r="G13">
            <v>278.21199999999976</v>
          </cell>
          <cell r="H13">
            <v>0.38500000000004775</v>
          </cell>
          <cell r="I13">
            <v>-1.5500000000000114</v>
          </cell>
          <cell r="J13">
            <v>-0.48400000000003729</v>
          </cell>
          <cell r="K13">
            <v>-0.13525000000009868</v>
          </cell>
        </row>
        <row r="14">
          <cell r="B14" t="str">
            <v>COFORGE</v>
          </cell>
          <cell r="C14">
            <v>7377.5</v>
          </cell>
          <cell r="D14">
            <v>6909.5149999999994</v>
          </cell>
          <cell r="E14">
            <v>7432.6290000000017</v>
          </cell>
          <cell r="F14">
            <v>8217.8314999999948</v>
          </cell>
          <cell r="G14">
            <v>7552.5884999999998</v>
          </cell>
          <cell r="H14">
            <v>105.38499999999931</v>
          </cell>
          <cell r="I14">
            <v>-23.166999999997643</v>
          </cell>
          <cell r="J14">
            <v>-13.083499999998821</v>
          </cell>
          <cell r="K14">
            <v>7.536750000000211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HDFCBANK"/>
      <sheetName val="ICICIBANK"/>
      <sheetName val="SBIN"/>
      <sheetName val="AUBANK"/>
      <sheetName val="AXISBANK"/>
      <sheetName val="KOTAKBANK"/>
      <sheetName val="BAJAJFINSV"/>
      <sheetName val="BAJFINANCE"/>
      <sheetName val="BANDHANBNK"/>
      <sheetName val="BANKBARODA"/>
      <sheetName val="CANFINHOME"/>
      <sheetName val="CHOLAFIN"/>
      <sheetName val="COROMANDEL"/>
      <sheetName val="FEDERALBNK"/>
      <sheetName val="RBLBANK"/>
      <sheetName val="INDUSINDBK"/>
      <sheetName val="M&amp;MFIN"/>
      <sheetName val="MANAPPURAM"/>
      <sheetName val="MUTHOOTFIN"/>
      <sheetName val="PNB"/>
      <sheetName val="ABCAPITAL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HDFCBANK</v>
          </cell>
          <cell r="C6">
            <v>1911.2</v>
          </cell>
          <cell r="D6">
            <v>1886.2049999999999</v>
          </cell>
          <cell r="E6">
            <v>1764.6980000000005</v>
          </cell>
          <cell r="F6">
            <v>1755.8025000000009</v>
          </cell>
          <cell r="G6">
            <v>1716.6989999999994</v>
          </cell>
          <cell r="H6">
            <v>14.204999999999927</v>
          </cell>
          <cell r="I6">
            <v>3.3470000000002074</v>
          </cell>
          <cell r="J6">
            <v>1.1805000000001655</v>
          </cell>
          <cell r="K6">
            <v>0.92024999999989632</v>
          </cell>
        </row>
        <row r="7">
          <cell r="B7" t="str">
            <v>ICICIBANK</v>
          </cell>
          <cell r="C7">
            <v>1404.8</v>
          </cell>
          <cell r="D7">
            <v>1378.395</v>
          </cell>
          <cell r="E7">
            <v>1292.509</v>
          </cell>
          <cell r="F7">
            <v>1284.5259999999996</v>
          </cell>
          <cell r="G7">
            <v>1264.6770000000006</v>
          </cell>
          <cell r="H7">
            <v>10.490000000000009</v>
          </cell>
          <cell r="I7">
            <v>2.6480000000001382</v>
          </cell>
          <cell r="J7">
            <v>1.1844999999998436</v>
          </cell>
          <cell r="K7">
            <v>0.8589999999999236</v>
          </cell>
        </row>
        <row r="8">
          <cell r="B8" t="str">
            <v>SBIN</v>
          </cell>
          <cell r="C8">
            <v>798.65</v>
          </cell>
          <cell r="D8">
            <v>789.33500000000004</v>
          </cell>
          <cell r="E8">
            <v>748.58</v>
          </cell>
          <cell r="F8">
            <v>772.53849999999977</v>
          </cell>
          <cell r="G8">
            <v>796.15449999999942</v>
          </cell>
          <cell r="H8">
            <v>3.0049999999999955</v>
          </cell>
          <cell r="I8">
            <v>0.92799999999988358</v>
          </cell>
          <cell r="J8">
            <v>-0.40200000000015734</v>
          </cell>
          <cell r="K8">
            <v>-0.20325000000013915</v>
          </cell>
        </row>
        <row r="9">
          <cell r="B9" t="str">
            <v>AUBANK</v>
          </cell>
          <cell r="C9">
            <v>675.15</v>
          </cell>
          <cell r="D9">
            <v>611.53500000000008</v>
          </cell>
          <cell r="E9">
            <v>555.12299999999993</v>
          </cell>
          <cell r="F9">
            <v>567.70299999999997</v>
          </cell>
          <cell r="G9">
            <v>611.17999999999984</v>
          </cell>
          <cell r="H9">
            <v>12.955000000000041</v>
          </cell>
          <cell r="I9">
            <v>1.7779999999999063</v>
          </cell>
          <cell r="J9">
            <v>0.89349999999990359</v>
          </cell>
          <cell r="K9">
            <v>8.4999999999126885E-3</v>
          </cell>
        </row>
        <row r="10">
          <cell r="B10" t="str">
            <v>AXISBANK</v>
          </cell>
          <cell r="C10">
            <v>1166.3</v>
          </cell>
          <cell r="D10">
            <v>1161.56</v>
          </cell>
          <cell r="E10">
            <v>1063.4309999999998</v>
          </cell>
          <cell r="F10">
            <v>1063.5924999999995</v>
          </cell>
          <cell r="G10">
            <v>1127.0802499999998</v>
          </cell>
          <cell r="H10">
            <v>8.8449999999997999</v>
          </cell>
          <cell r="I10">
            <v>2.9120000000000346</v>
          </cell>
          <cell r="J10">
            <v>0.33799999999996544</v>
          </cell>
          <cell r="K10">
            <v>-0.57300000000009277</v>
          </cell>
        </row>
        <row r="11">
          <cell r="B11" t="str">
            <v>KOTAKBANK</v>
          </cell>
          <cell r="C11">
            <v>2204.4</v>
          </cell>
          <cell r="D11">
            <v>2176.02</v>
          </cell>
          <cell r="E11">
            <v>2041.7580000000007</v>
          </cell>
          <cell r="F11">
            <v>1927.4675000000002</v>
          </cell>
          <cell r="G11">
            <v>1863.8437500000007</v>
          </cell>
          <cell r="H11">
            <v>14.924999999999727</v>
          </cell>
          <cell r="I11">
            <v>5.7690000000002328</v>
          </cell>
          <cell r="J11">
            <v>4.4519999999997708</v>
          </cell>
          <cell r="K11">
            <v>1.8527500000002419</v>
          </cell>
        </row>
        <row r="12">
          <cell r="B12" t="str">
            <v>BAJAJFINSV</v>
          </cell>
          <cell r="C12">
            <v>2045.5</v>
          </cell>
          <cell r="D12">
            <v>2024.6299999999999</v>
          </cell>
          <cell r="E12">
            <v>1898.4080000000008</v>
          </cell>
          <cell r="F12">
            <v>1787.1634999999997</v>
          </cell>
          <cell r="G12">
            <v>1755.6880000000008</v>
          </cell>
          <cell r="H12">
            <v>14.229999999999791</v>
          </cell>
          <cell r="I12">
            <v>5.1500000000000909</v>
          </cell>
          <cell r="J12">
            <v>4.7045000000000528</v>
          </cell>
          <cell r="K12">
            <v>2.2990000000002055</v>
          </cell>
        </row>
        <row r="13">
          <cell r="B13" t="str">
            <v>BAJFINANCE</v>
          </cell>
          <cell r="C13">
            <v>9112</v>
          </cell>
          <cell r="D13">
            <v>9128.69</v>
          </cell>
          <cell r="E13">
            <v>8680.2400000000016</v>
          </cell>
          <cell r="F13">
            <v>7977.3339999999998</v>
          </cell>
          <cell r="G13">
            <v>7485.7717500000017</v>
          </cell>
          <cell r="H13">
            <v>28.975000000000364</v>
          </cell>
          <cell r="I13">
            <v>12.09400000000096</v>
          </cell>
          <cell r="J13">
            <v>26.026000000000749</v>
          </cell>
          <cell r="K13">
            <v>10.024749999999585</v>
          </cell>
        </row>
        <row r="14">
          <cell r="B14" t="str">
            <v>BANDHANBNK</v>
          </cell>
          <cell r="C14">
            <v>165.45</v>
          </cell>
          <cell r="D14">
            <v>161.10599999999999</v>
          </cell>
          <cell r="E14">
            <v>147.0788</v>
          </cell>
          <cell r="F14">
            <v>152.83620000000005</v>
          </cell>
          <cell r="G14">
            <v>172.89875000000004</v>
          </cell>
          <cell r="H14">
            <v>1.5449999999999875</v>
          </cell>
          <cell r="I14">
            <v>0.26339999999996166</v>
          </cell>
          <cell r="J14">
            <v>-5.5100000000010141E-2</v>
          </cell>
          <cell r="K14">
            <v>-0.21305000000000973</v>
          </cell>
        </row>
        <row r="15">
          <cell r="B15" t="str">
            <v>BANKBARODA</v>
          </cell>
          <cell r="C15">
            <v>246.79</v>
          </cell>
          <cell r="D15">
            <v>243.34</v>
          </cell>
          <cell r="E15">
            <v>219.46519999999998</v>
          </cell>
          <cell r="F15">
            <v>228.38400000000004</v>
          </cell>
          <cell r="G15">
            <v>237.85469999999984</v>
          </cell>
          <cell r="H15">
            <v>1.0949999999999704</v>
          </cell>
          <cell r="I15">
            <v>0.54160000000004516</v>
          </cell>
          <cell r="J15">
            <v>-2.2099999999994679E-2</v>
          </cell>
          <cell r="K15">
            <v>-0.11679999999998358</v>
          </cell>
        </row>
        <row r="16">
          <cell r="B16" t="str">
            <v>CANFINHOME</v>
          </cell>
          <cell r="C16">
            <v>723.15</v>
          </cell>
          <cell r="D16">
            <v>704.07500000000005</v>
          </cell>
          <cell r="E16">
            <v>645.03199999999993</v>
          </cell>
          <cell r="F16">
            <v>687.24599999999975</v>
          </cell>
          <cell r="G16">
            <v>771.52024999999981</v>
          </cell>
          <cell r="H16">
            <v>6.30499999999995</v>
          </cell>
          <cell r="I16">
            <v>1.1220000000000709</v>
          </cell>
          <cell r="J16">
            <v>-0.98699999999996635</v>
          </cell>
          <cell r="K16">
            <v>-0.83724999999992633</v>
          </cell>
        </row>
        <row r="17">
          <cell r="B17" t="str">
            <v>CHOLAFIN</v>
          </cell>
          <cell r="C17">
            <v>1543.5</v>
          </cell>
          <cell r="D17">
            <v>1555.02</v>
          </cell>
          <cell r="E17">
            <v>1459.501</v>
          </cell>
          <cell r="F17">
            <v>1362.1450000000007</v>
          </cell>
          <cell r="G17">
            <v>1388.566</v>
          </cell>
          <cell r="H17">
            <v>8.0199999999999818</v>
          </cell>
          <cell r="I17">
            <v>3.2319999999999709</v>
          </cell>
          <cell r="J17">
            <v>2.7515000000000782</v>
          </cell>
          <cell r="K17">
            <v>0.6089999999999236</v>
          </cell>
        </row>
        <row r="18">
          <cell r="B18" t="str">
            <v>COROMANDEL</v>
          </cell>
          <cell r="C18">
            <v>2201.5</v>
          </cell>
          <cell r="D18">
            <v>2152.0500000000002</v>
          </cell>
          <cell r="E18">
            <v>1903.4160000000004</v>
          </cell>
          <cell r="F18">
            <v>1869.8870000000004</v>
          </cell>
          <cell r="G18">
            <v>1771.9590000000003</v>
          </cell>
          <cell r="H18">
            <v>13.805000000000291</v>
          </cell>
          <cell r="I18">
            <v>6.7279999999998381</v>
          </cell>
          <cell r="J18">
            <v>4.4574999999999818</v>
          </cell>
          <cell r="K18">
            <v>3.1097500000003038</v>
          </cell>
        </row>
        <row r="19">
          <cell r="B19" t="str">
            <v>FEDERALBNK</v>
          </cell>
          <cell r="C19">
            <v>196.49</v>
          </cell>
          <cell r="D19">
            <v>196.39100000000002</v>
          </cell>
          <cell r="E19">
            <v>187.03220000000002</v>
          </cell>
          <cell r="F19">
            <v>192.50710000000007</v>
          </cell>
          <cell r="G19">
            <v>194.22370000000009</v>
          </cell>
          <cell r="H19">
            <v>0.59600000000000364</v>
          </cell>
          <cell r="I19">
            <v>0.25740000000001828</v>
          </cell>
          <cell r="J19">
            <v>-0.14559999999997331</v>
          </cell>
          <cell r="K19">
            <v>7.7600000000018099E-2</v>
          </cell>
        </row>
        <row r="20">
          <cell r="B20" t="str">
            <v>RBLBANK</v>
          </cell>
          <cell r="C20">
            <v>188.09</v>
          </cell>
          <cell r="D20">
            <v>184.94799999999998</v>
          </cell>
          <cell r="E20">
            <v>168.41940000000002</v>
          </cell>
          <cell r="F20">
            <v>165.41099999999997</v>
          </cell>
          <cell r="G20">
            <v>185.33354999999995</v>
          </cell>
          <cell r="H20">
            <v>1.8340000000000032</v>
          </cell>
          <cell r="I20">
            <v>0.39500000000001023</v>
          </cell>
          <cell r="J20">
            <v>0.3060000000000116</v>
          </cell>
          <cell r="K20">
            <v>-0.39029999999999632</v>
          </cell>
        </row>
        <row r="21">
          <cell r="B21" t="str">
            <v>INDUSINDBK</v>
          </cell>
          <cell r="C21">
            <v>822.35</v>
          </cell>
          <cell r="D21">
            <v>773.89</v>
          </cell>
          <cell r="E21">
            <v>839.12900000000013</v>
          </cell>
          <cell r="F21">
            <v>907.90799999999979</v>
          </cell>
          <cell r="G21">
            <v>1112.5422500000002</v>
          </cell>
          <cell r="H21">
            <v>14.270000000000095</v>
          </cell>
          <cell r="I21">
            <v>-4.8640000000000327</v>
          </cell>
          <cell r="J21">
            <v>-1.7125000000000909</v>
          </cell>
          <cell r="K21">
            <v>-3.1024999999999636</v>
          </cell>
        </row>
        <row r="22">
          <cell r="B22" t="str">
            <v>M&amp;MFIN</v>
          </cell>
          <cell r="C22">
            <v>264.60000000000002</v>
          </cell>
          <cell r="D22">
            <v>269.29499999999996</v>
          </cell>
          <cell r="E22">
            <v>275.428</v>
          </cell>
          <cell r="F22">
            <v>275.13149999999996</v>
          </cell>
          <cell r="G22">
            <v>286.38949999999988</v>
          </cell>
          <cell r="H22">
            <v>0.57999999999992724</v>
          </cell>
          <cell r="I22">
            <v>-0.64900000000000091</v>
          </cell>
          <cell r="J22">
            <v>-7.4000000000012278E-2</v>
          </cell>
          <cell r="K22">
            <v>-0.16800000000000637</v>
          </cell>
        </row>
        <row r="23">
          <cell r="B23" t="str">
            <v>MANAPPURAM</v>
          </cell>
          <cell r="C23">
            <v>226.93</v>
          </cell>
          <cell r="D23">
            <v>228.59799999999996</v>
          </cell>
          <cell r="E23">
            <v>215.08680000000001</v>
          </cell>
          <cell r="F23">
            <v>199.80869999999999</v>
          </cell>
          <cell r="G23">
            <v>195.40059999999997</v>
          </cell>
          <cell r="H23">
            <v>-0.21300000000002228</v>
          </cell>
          <cell r="I23">
            <v>0.41680000000002337</v>
          </cell>
          <cell r="J23">
            <v>0.70220000000000482</v>
          </cell>
          <cell r="K23">
            <v>9.2599999999947613E-2</v>
          </cell>
        </row>
        <row r="24">
          <cell r="B24" t="str">
            <v>MUTHOOTFIN</v>
          </cell>
          <cell r="C24">
            <v>2093.1999999999998</v>
          </cell>
          <cell r="D24">
            <v>2131.165</v>
          </cell>
          <cell r="E24">
            <v>2232.9230000000002</v>
          </cell>
          <cell r="F24">
            <v>2178.0659999999993</v>
          </cell>
          <cell r="G24">
            <v>2041.8989999999999</v>
          </cell>
          <cell r="H24">
            <v>-19.945000000000164</v>
          </cell>
          <cell r="I24">
            <v>-2.8079999999999927</v>
          </cell>
          <cell r="J24">
            <v>1.8125</v>
          </cell>
          <cell r="K24">
            <v>1.4452499999999873</v>
          </cell>
        </row>
        <row r="25">
          <cell r="B25" t="str">
            <v>PNB</v>
          </cell>
          <cell r="C25">
            <v>99.29</v>
          </cell>
          <cell r="D25">
            <v>99.744000000000014</v>
          </cell>
          <cell r="E25">
            <v>94.245000000000019</v>
          </cell>
          <cell r="F25">
            <v>98.338400000000007</v>
          </cell>
          <cell r="G25">
            <v>104.16819999999996</v>
          </cell>
          <cell r="H25">
            <v>0.23800000000001376</v>
          </cell>
          <cell r="I25">
            <v>-8.5999999999870624E-3</v>
          </cell>
          <cell r="J25">
            <v>-6.9999999999993179E-2</v>
          </cell>
          <cell r="K25">
            <v>-0.11120000000001085</v>
          </cell>
        </row>
        <row r="26">
          <cell r="B26" t="str">
            <v>ABCAPITAL</v>
          </cell>
          <cell r="C26">
            <v>195.94</v>
          </cell>
          <cell r="D26">
            <v>196.52499999999998</v>
          </cell>
          <cell r="E26">
            <v>173.1396</v>
          </cell>
          <cell r="F26">
            <v>177.80910000000006</v>
          </cell>
          <cell r="G26">
            <v>196.99345000000002</v>
          </cell>
          <cell r="H26">
            <v>1.1920000000000073</v>
          </cell>
          <cell r="I26">
            <v>0.53499999999999659</v>
          </cell>
          <cell r="J26">
            <v>2.1299999999996544E-2</v>
          </cell>
          <cell r="K26">
            <v>-0.20719999999997185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AJAJ-AUTO"/>
      <sheetName val="MARUTI"/>
      <sheetName val="TATAMOTORS"/>
      <sheetName val="TVSMOTOR"/>
      <sheetName val="EICHERMOT"/>
      <sheetName val="HEROMOTOCO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BAJAJ-AUTO</v>
          </cell>
          <cell r="C6">
            <v>8034</v>
          </cell>
          <cell r="D6">
            <v>8020.1650000000009</v>
          </cell>
          <cell r="E6">
            <v>8019.8050000000003</v>
          </cell>
          <cell r="F6">
            <v>8416.6229999999996</v>
          </cell>
          <cell r="G6">
            <v>9408.9517499999984</v>
          </cell>
          <cell r="H6">
            <v>53.595000000001164</v>
          </cell>
          <cell r="I6">
            <v>-16.246999999999389</v>
          </cell>
          <cell r="J6">
            <v>-9.7950000000000728</v>
          </cell>
          <cell r="K6">
            <v>-7.134250000000975</v>
          </cell>
        </row>
        <row r="7">
          <cell r="B7" t="str">
            <v>MARUTI</v>
          </cell>
          <cell r="C7">
            <v>11698</v>
          </cell>
          <cell r="D7">
            <v>11724.844999999999</v>
          </cell>
          <cell r="E7">
            <v>11941.529000000002</v>
          </cell>
          <cell r="F7">
            <v>11795.328000000003</v>
          </cell>
          <cell r="G7">
            <v>11982.652750000001</v>
          </cell>
          <cell r="H7">
            <v>23.909999999999854</v>
          </cell>
          <cell r="I7">
            <v>-27.519999999998618</v>
          </cell>
          <cell r="J7">
            <v>7.481499999999869</v>
          </cell>
          <cell r="K7">
            <v>-1.9580000000005384</v>
          </cell>
        </row>
        <row r="8">
          <cell r="B8" t="str">
            <v>TATAMOTORS</v>
          </cell>
          <cell r="C8">
            <v>655.25</v>
          </cell>
          <cell r="D8">
            <v>628.21499999999992</v>
          </cell>
          <cell r="E8">
            <v>657.68399999999997</v>
          </cell>
          <cell r="F8">
            <v>708.11100000000022</v>
          </cell>
          <cell r="G8">
            <v>837.71725000000015</v>
          </cell>
          <cell r="H8">
            <v>6.6399999999998727</v>
          </cell>
          <cell r="I8">
            <v>-1.0879999999999654</v>
          </cell>
          <cell r="J8">
            <v>-1.2419999999999618</v>
          </cell>
          <cell r="K8">
            <v>-1.7147500000000946</v>
          </cell>
        </row>
        <row r="9">
          <cell r="B9" t="str">
            <v>TVSMOTOR</v>
          </cell>
          <cell r="C9">
            <v>2737.9</v>
          </cell>
          <cell r="D9">
            <v>2666.1150000000002</v>
          </cell>
          <cell r="E9">
            <v>2439.6779999999985</v>
          </cell>
          <cell r="F9">
            <v>2431.5250000000001</v>
          </cell>
          <cell r="G9">
            <v>2521.3654999999999</v>
          </cell>
          <cell r="H9">
            <v>30.025000000000091</v>
          </cell>
          <cell r="I9">
            <v>2.9309999999995853</v>
          </cell>
          <cell r="J9">
            <v>3.2245000000002619</v>
          </cell>
          <cell r="K9">
            <v>1.8597500000000764</v>
          </cell>
        </row>
        <row r="10">
          <cell r="B10" t="str">
            <v>EICHERMOT</v>
          </cell>
          <cell r="C10">
            <v>5575.5</v>
          </cell>
          <cell r="D10">
            <v>5599.27</v>
          </cell>
          <cell r="E10">
            <v>5182.9639999999999</v>
          </cell>
          <cell r="F10">
            <v>5095.8304999999991</v>
          </cell>
          <cell r="G10">
            <v>4965.249499999999</v>
          </cell>
          <cell r="H10">
            <v>34.414999999999964</v>
          </cell>
          <cell r="I10">
            <v>4.6700000000000728</v>
          </cell>
          <cell r="J10">
            <v>7.5979999999999563</v>
          </cell>
          <cell r="K10">
            <v>4.430000000000291</v>
          </cell>
        </row>
        <row r="11">
          <cell r="B11" t="str">
            <v>HEROMOTOCO</v>
          </cell>
          <cell r="C11">
            <v>3895.5</v>
          </cell>
          <cell r="D11">
            <v>3817.56</v>
          </cell>
          <cell r="E11">
            <v>3755.2549999999992</v>
          </cell>
          <cell r="F11">
            <v>4026.4844999999982</v>
          </cell>
          <cell r="G11">
            <v>4689.695499999998</v>
          </cell>
          <cell r="H11">
            <v>32.134999999999309</v>
          </cell>
          <cell r="I11">
            <v>-6.691000000000713</v>
          </cell>
          <cell r="J11">
            <v>-8.8800000000001091</v>
          </cell>
          <cell r="K11">
            <v>-8.314249999999447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SIM"/>
      <sheetName val="HINDALCO"/>
      <sheetName val="JINDALSTEL"/>
      <sheetName val="JSWSTEEL"/>
      <sheetName val="SAIL"/>
      <sheetName val="TATASTEEL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GRASIM</v>
          </cell>
          <cell r="C6">
            <v>2734.8</v>
          </cell>
          <cell r="D6">
            <v>2704.7</v>
          </cell>
          <cell r="E6">
            <v>2516.9159999999993</v>
          </cell>
          <cell r="F6">
            <v>2512.2734999999989</v>
          </cell>
          <cell r="G6">
            <v>2601.6097499999992</v>
          </cell>
          <cell r="H6">
            <v>14.475000000000364</v>
          </cell>
          <cell r="I6">
            <v>4.7160000000003492</v>
          </cell>
          <cell r="J6">
            <v>1.643500000000131</v>
          </cell>
          <cell r="K6">
            <v>-2.4999999959618435E-4</v>
          </cell>
        </row>
        <row r="7">
          <cell r="B7" t="str">
            <v>HINDALCO</v>
          </cell>
          <cell r="C7">
            <v>622.1</v>
          </cell>
          <cell r="D7">
            <v>612.29500000000007</v>
          </cell>
          <cell r="E7">
            <v>642.14599999999996</v>
          </cell>
          <cell r="F7">
            <v>629.15099999999984</v>
          </cell>
          <cell r="G7">
            <v>656.03450000000021</v>
          </cell>
          <cell r="H7">
            <v>5.375</v>
          </cell>
          <cell r="I7">
            <v>0.53299999999990177</v>
          </cell>
          <cell r="J7">
            <v>-0.28150000000005093</v>
          </cell>
          <cell r="K7">
            <v>-0.34875000000010914</v>
          </cell>
        </row>
        <row r="8">
          <cell r="B8" t="str">
            <v>JINDALSTEL</v>
          </cell>
          <cell r="C8">
            <v>891.8</v>
          </cell>
          <cell r="D8">
            <v>871.36500000000001</v>
          </cell>
          <cell r="E8">
            <v>876.46</v>
          </cell>
          <cell r="F8">
            <v>893.96050000000037</v>
          </cell>
          <cell r="G8">
            <v>927.27600000000029</v>
          </cell>
          <cell r="H8">
            <v>8.9950000000001182</v>
          </cell>
          <cell r="I8">
            <v>1.6490000000001146</v>
          </cell>
          <cell r="J8">
            <v>-5.1999999999793545E-2</v>
          </cell>
          <cell r="K8">
            <v>-0.81825000000003456</v>
          </cell>
        </row>
        <row r="9">
          <cell r="B9" t="str">
            <v>JSWSTEEL</v>
          </cell>
          <cell r="C9">
            <v>1028.4000000000001</v>
          </cell>
          <cell r="D9">
            <v>1015.0699999999999</v>
          </cell>
          <cell r="E9">
            <v>1004.2820000000003</v>
          </cell>
          <cell r="F9">
            <v>971.87500000000045</v>
          </cell>
          <cell r="G9">
            <v>961.30550000000005</v>
          </cell>
          <cell r="H9">
            <v>7.3799999999999955</v>
          </cell>
          <cell r="I9">
            <v>1.5999999999999091</v>
          </cell>
          <cell r="J9">
            <v>0.74250000000006366</v>
          </cell>
          <cell r="K9">
            <v>0.42025000000001</v>
          </cell>
        </row>
        <row r="10">
          <cell r="B10" t="str">
            <v>SAIL</v>
          </cell>
          <cell r="C10">
            <v>114.81</v>
          </cell>
          <cell r="D10">
            <v>113.739</v>
          </cell>
          <cell r="E10">
            <v>110.46639999999999</v>
          </cell>
          <cell r="F10">
            <v>111.97110000000002</v>
          </cell>
          <cell r="G10">
            <v>121.72630000000002</v>
          </cell>
          <cell r="H10">
            <v>0.99799999999999045</v>
          </cell>
          <cell r="I10">
            <v>0.1366000000000156</v>
          </cell>
          <cell r="J10">
            <v>-1.4699999999990609E-2</v>
          </cell>
          <cell r="K10">
            <v>-0.18119999999998981</v>
          </cell>
        </row>
        <row r="11">
          <cell r="B11" t="str">
            <v>TATASTEEL</v>
          </cell>
          <cell r="C11">
            <v>138.85</v>
          </cell>
          <cell r="D11">
            <v>136.999</v>
          </cell>
          <cell r="E11">
            <v>143.2406</v>
          </cell>
          <cell r="F11">
            <v>140.19810000000004</v>
          </cell>
          <cell r="G11">
            <v>147.44385000000005</v>
          </cell>
          <cell r="H11">
            <v>0.85699999999999932</v>
          </cell>
          <cell r="I11">
            <v>0.12620000000001141</v>
          </cell>
          <cell r="J11">
            <v>-4.5400000000000773E-2</v>
          </cell>
          <cell r="K11">
            <v>-0.18720000000001846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ALINDIA"/>
      <sheetName val="ONGC"/>
      <sheetName val="POWERGRID"/>
      <sheetName val="RELIANCE"/>
      <sheetName val="TATAPOWER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COALINDIA</v>
          </cell>
          <cell r="C6">
            <v>393.15</v>
          </cell>
          <cell r="D6">
            <v>395.11</v>
          </cell>
          <cell r="E6">
            <v>381.77899999999994</v>
          </cell>
          <cell r="F6">
            <v>385.93050000000005</v>
          </cell>
          <cell r="G6">
            <v>436.10675000000015</v>
          </cell>
          <cell r="H6">
            <v>1.0300000000000296</v>
          </cell>
          <cell r="I6">
            <v>0.27099999999995816</v>
          </cell>
          <cell r="J6">
            <v>-0.22049999999995862</v>
          </cell>
          <cell r="K6">
            <v>-0.48200000000008458</v>
          </cell>
        </row>
        <row r="7">
          <cell r="B7" t="str">
            <v>ONGC</v>
          </cell>
          <cell r="C7">
            <v>246.33</v>
          </cell>
          <cell r="D7">
            <v>241.51400000000004</v>
          </cell>
          <cell r="E7">
            <v>236.19240000000002</v>
          </cell>
          <cell r="F7">
            <v>245.28850000000003</v>
          </cell>
          <cell r="G7">
            <v>270.96699999999998</v>
          </cell>
          <cell r="H7">
            <v>1.9670000000000698</v>
          </cell>
          <cell r="I7">
            <v>-0.19639999999995439</v>
          </cell>
          <cell r="J7">
            <v>-5.869999999998754E-2</v>
          </cell>
          <cell r="K7">
            <v>-0.15359999999998308</v>
          </cell>
        </row>
        <row r="8">
          <cell r="B8" t="str">
            <v>POWERGRID</v>
          </cell>
          <cell r="C8">
            <v>306.5</v>
          </cell>
          <cell r="D8">
            <v>308.52</v>
          </cell>
          <cell r="E8">
            <v>279.39699999999999</v>
          </cell>
          <cell r="F8">
            <v>293.90599999999995</v>
          </cell>
          <cell r="G8">
            <v>314.46175000000011</v>
          </cell>
          <cell r="H8">
            <v>1.7549999999999955</v>
          </cell>
          <cell r="I8">
            <v>0.507000000000005</v>
          </cell>
          <cell r="J8">
            <v>-0.27150000000006003</v>
          </cell>
          <cell r="K8">
            <v>-0.14249999999998408</v>
          </cell>
        </row>
        <row r="9">
          <cell r="B9" t="str">
            <v>RELIANCE</v>
          </cell>
          <cell r="C9">
            <v>1300.4000000000001</v>
          </cell>
          <cell r="D9">
            <v>1264.69</v>
          </cell>
          <cell r="E9">
            <v>1239.2940000000003</v>
          </cell>
          <cell r="F9">
            <v>1249.1110000000001</v>
          </cell>
          <cell r="G9">
            <v>1341.0780000000002</v>
          </cell>
          <cell r="H9">
            <v>11.819999999999709</v>
          </cell>
          <cell r="I9">
            <v>0.37699999999995271</v>
          </cell>
          <cell r="J9">
            <v>0.29599999999982174</v>
          </cell>
          <cell r="K9">
            <v>-1.2680000000002565</v>
          </cell>
        </row>
        <row r="10">
          <cell r="B10" t="str">
            <v>TATAPOWER</v>
          </cell>
          <cell r="C10">
            <v>387.6</v>
          </cell>
          <cell r="D10">
            <v>382.15</v>
          </cell>
          <cell r="E10">
            <v>363.33800000000002</v>
          </cell>
          <cell r="F10">
            <v>376.07300000000009</v>
          </cell>
          <cell r="G10">
            <v>406.06299999999993</v>
          </cell>
          <cell r="H10">
            <v>2.7900000000000205</v>
          </cell>
          <cell r="I10">
            <v>0.44499999999999318</v>
          </cell>
          <cell r="J10">
            <v>-0.26900000000011914</v>
          </cell>
          <cell r="K10">
            <v>-0.24325000000015962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LKRISIND"/>
      <sheetName val="BALRAMCHIN"/>
      <sheetName val="MRF"/>
      <sheetName val="TATACONSUM"/>
      <sheetName val="TITAN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BALKRISIND</v>
          </cell>
          <cell r="C6">
            <v>2518.1999999999998</v>
          </cell>
          <cell r="D6">
            <v>2484.0499999999997</v>
          </cell>
          <cell r="E6">
            <v>2560.8180000000002</v>
          </cell>
          <cell r="F6">
            <v>2669.8185000000003</v>
          </cell>
          <cell r="G6">
            <v>2825.4252500000002</v>
          </cell>
          <cell r="H6">
            <v>19.809999999999945</v>
          </cell>
          <cell r="I6">
            <v>-4.88799999999992</v>
          </cell>
          <cell r="J6">
            <v>-1.9974999999999454</v>
          </cell>
          <cell r="K6">
            <v>-3.148000000000593</v>
          </cell>
        </row>
        <row r="7">
          <cell r="B7" t="str">
            <v>BALRAMCHIN</v>
          </cell>
          <cell r="C7">
            <v>571.95000000000005</v>
          </cell>
          <cell r="D7">
            <v>564.06999999999994</v>
          </cell>
          <cell r="E7">
            <v>501.93699999999995</v>
          </cell>
          <cell r="F7">
            <v>513.36149999999975</v>
          </cell>
          <cell r="G7">
            <v>535.83349999999984</v>
          </cell>
          <cell r="H7">
            <v>4.4950000000000045</v>
          </cell>
          <cell r="I7">
            <v>1.9359999999999786</v>
          </cell>
          <cell r="J7">
            <v>0.10850000000004911</v>
          </cell>
          <cell r="K7">
            <v>0.72174999999992906</v>
          </cell>
        </row>
        <row r="8">
          <cell r="B8" t="str">
            <v>MRF</v>
          </cell>
          <cell r="C8">
            <v>128655</v>
          </cell>
          <cell r="D8">
            <v>124553.76999999999</v>
          </cell>
          <cell r="E8">
            <v>112599.69300000001</v>
          </cell>
          <cell r="F8">
            <v>117438.92400000004</v>
          </cell>
          <cell r="G8">
            <v>124652.50650000002</v>
          </cell>
          <cell r="H8">
            <v>1606.2600000000093</v>
          </cell>
          <cell r="I8">
            <v>290.52199999999721</v>
          </cell>
          <cell r="J8">
            <v>49.926499999986845</v>
          </cell>
          <cell r="K8">
            <v>0.68574999997508712</v>
          </cell>
        </row>
        <row r="9">
          <cell r="B9" t="str">
            <v>TATACONSUM</v>
          </cell>
          <cell r="C9">
            <v>1155.7</v>
          </cell>
          <cell r="D9">
            <v>1124.1949999999999</v>
          </cell>
          <cell r="E9">
            <v>1020.2480000000002</v>
          </cell>
          <cell r="F9">
            <v>987.06199999999978</v>
          </cell>
          <cell r="G9">
            <v>1055.9879999999989</v>
          </cell>
          <cell r="H9">
            <v>8.5950000000000273</v>
          </cell>
          <cell r="I9">
            <v>2.6470000000000482</v>
          </cell>
          <cell r="J9">
            <v>2.1464999999999463</v>
          </cell>
          <cell r="K9">
            <v>0.10249999999973625</v>
          </cell>
        </row>
        <row r="10">
          <cell r="B10" t="str">
            <v>TITAN</v>
          </cell>
          <cell r="C10">
            <v>3365.2</v>
          </cell>
          <cell r="D10">
            <v>3306.0650000000001</v>
          </cell>
          <cell r="E10">
            <v>3166.5930000000003</v>
          </cell>
          <cell r="F10">
            <v>3283.0129999999995</v>
          </cell>
          <cell r="G10">
            <v>3363.8352499999978</v>
          </cell>
          <cell r="H10">
            <v>24.289999999999509</v>
          </cell>
          <cell r="I10">
            <v>-0.91100000000005821</v>
          </cell>
          <cell r="J10">
            <v>1.5285000000003492</v>
          </cell>
          <cell r="K10">
            <v>0.14599999999973079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C"/>
      <sheetName val="AMBUJACEM"/>
      <sheetName val="JKCEMENT"/>
      <sheetName val="SHREECEM"/>
      <sheetName val="ULTRACEMCO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ACC</v>
          </cell>
          <cell r="C6">
            <v>1938</v>
          </cell>
          <cell r="D6">
            <v>2038.8150000000001</v>
          </cell>
          <cell r="E6">
            <v>1928.769</v>
          </cell>
          <cell r="F6">
            <v>2004.6269999999997</v>
          </cell>
          <cell r="G6">
            <v>2200.0452500000001</v>
          </cell>
          <cell r="H6">
            <v>-3.5550000000000637</v>
          </cell>
          <cell r="I6">
            <v>-1.1169999999999618</v>
          </cell>
          <cell r="J6">
            <v>-2.5054999999999836</v>
          </cell>
          <cell r="K6">
            <v>-3.9375</v>
          </cell>
        </row>
        <row r="7">
          <cell r="B7" t="str">
            <v>AMBUJACEM</v>
          </cell>
          <cell r="C7">
            <v>548.70000000000005</v>
          </cell>
          <cell r="D7">
            <v>564.19000000000005</v>
          </cell>
          <cell r="E7">
            <v>514.16300000000001</v>
          </cell>
          <cell r="F7">
            <v>527.64200000000005</v>
          </cell>
          <cell r="G7">
            <v>570.05549999999982</v>
          </cell>
          <cell r="H7">
            <v>1.1900000000000546</v>
          </cell>
          <cell r="I7">
            <v>0.69100000000014461</v>
          </cell>
          <cell r="J7">
            <v>0.3569999999999709</v>
          </cell>
          <cell r="K7">
            <v>-0.66700000000003001</v>
          </cell>
        </row>
        <row r="8">
          <cell r="B8" t="str">
            <v>JKCEMENT</v>
          </cell>
          <cell r="C8">
            <v>5245.3</v>
          </cell>
          <cell r="D8">
            <v>5080.8850000000002</v>
          </cell>
          <cell r="E8">
            <v>4735.95</v>
          </cell>
          <cell r="F8">
            <v>4694.5279999999993</v>
          </cell>
          <cell r="G8">
            <v>4530.5719999999992</v>
          </cell>
          <cell r="H8">
            <v>35.915000000000873</v>
          </cell>
          <cell r="I8">
            <v>6.9400000000005093</v>
          </cell>
          <cell r="J8">
            <v>11.01299999999992</v>
          </cell>
          <cell r="K8">
            <v>4.7699999999995271</v>
          </cell>
        </row>
        <row r="9">
          <cell r="B9" t="str">
            <v>SHREECEM</v>
          </cell>
          <cell r="C9">
            <v>30540</v>
          </cell>
          <cell r="D9">
            <v>30707.82</v>
          </cell>
          <cell r="E9">
            <v>29086.96999999999</v>
          </cell>
          <cell r="F9">
            <v>27809.47</v>
          </cell>
          <cell r="G9">
            <v>26704.682499999981</v>
          </cell>
          <cell r="H9">
            <v>10.679999999996653</v>
          </cell>
          <cell r="I9">
            <v>54.348999999994703</v>
          </cell>
          <cell r="J9">
            <v>49.943999999995867</v>
          </cell>
          <cell r="K9">
            <v>15.404750000001513</v>
          </cell>
        </row>
        <row r="10">
          <cell r="B10" t="str">
            <v>ULTRACEMCO</v>
          </cell>
          <cell r="C10">
            <v>12237</v>
          </cell>
          <cell r="D10">
            <v>11848.57</v>
          </cell>
          <cell r="E10">
            <v>11196.653</v>
          </cell>
          <cell r="F10">
            <v>11297.780500000001</v>
          </cell>
          <cell r="G10">
            <v>11340.135749999999</v>
          </cell>
          <cell r="H10">
            <v>96.655000000000655</v>
          </cell>
          <cell r="I10">
            <v>15.19300000000112</v>
          </cell>
          <cell r="J10">
            <v>12.391999999999825</v>
          </cell>
          <cell r="K10">
            <v>2.3847499999992579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HARTIARTL"/>
      <sheetName val="TATACOMM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BHARTIARTL</v>
          </cell>
          <cell r="C6">
            <v>1817.2</v>
          </cell>
          <cell r="D6">
            <v>1826.2649999999999</v>
          </cell>
          <cell r="E6">
            <v>1703.6040000000003</v>
          </cell>
          <cell r="F6">
            <v>1658.8494999999996</v>
          </cell>
          <cell r="G6">
            <v>1615.3514999999998</v>
          </cell>
          <cell r="H6">
            <v>9.6799999999996089</v>
          </cell>
          <cell r="I6">
            <v>3.9490000000000691</v>
          </cell>
          <cell r="J6">
            <v>2.568000000000211</v>
          </cell>
          <cell r="K6">
            <v>1.9707500000001801</v>
          </cell>
        </row>
        <row r="7">
          <cell r="B7" t="str">
            <v>TATACOMM</v>
          </cell>
          <cell r="C7">
            <v>1569.6</v>
          </cell>
          <cell r="D7">
            <v>1579.5900000000001</v>
          </cell>
          <cell r="E7">
            <v>1520.5409999999997</v>
          </cell>
          <cell r="F7">
            <v>1614.3715000000002</v>
          </cell>
          <cell r="G7">
            <v>1753.50575</v>
          </cell>
          <cell r="H7">
            <v>0.41000000000008185</v>
          </cell>
          <cell r="I7">
            <v>-0.34600000000000364</v>
          </cell>
          <cell r="J7">
            <v>-1.7550000000001091</v>
          </cell>
          <cell r="K7">
            <v>-1.5334999999997763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NTV"/>
      <sheetName val="ZEEL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SUNTV</v>
          </cell>
          <cell r="C6">
            <v>639.04999999999995</v>
          </cell>
          <cell r="D6">
            <v>660.68500000000006</v>
          </cell>
          <cell r="E6">
            <v>614.38200000000006</v>
          </cell>
          <cell r="F6">
            <v>649.40549999999973</v>
          </cell>
          <cell r="G6">
            <v>723.31975000000011</v>
          </cell>
          <cell r="H6">
            <v>-1.375</v>
          </cell>
          <cell r="I6">
            <v>4.0000000000190994E-3</v>
          </cell>
          <cell r="J6">
            <v>-1.0715000000000146</v>
          </cell>
          <cell r="K6">
            <v>-0.70999999999992269</v>
          </cell>
        </row>
        <row r="7">
          <cell r="B7" t="str">
            <v>ZEEL</v>
          </cell>
          <cell r="C7">
            <v>108.23</v>
          </cell>
          <cell r="D7">
            <v>111.377</v>
          </cell>
          <cell r="E7">
            <v>102.9284</v>
          </cell>
          <cell r="F7">
            <v>113.55150000000002</v>
          </cell>
          <cell r="G7">
            <v>123.31109999999988</v>
          </cell>
          <cell r="H7">
            <v>2.9999999999986926E-2</v>
          </cell>
          <cell r="I7">
            <v>-5.199999999987881E-3</v>
          </cell>
          <cell r="J7">
            <v>-0.14880000000000848</v>
          </cell>
          <cell r="K7">
            <v>-0.20895000000000152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IANPAINT"/>
      <sheetName val="BERGEPAINT"/>
    </sheetNames>
    <sheetDataSet>
      <sheetData sheetId="0">
        <row r="5">
          <cell r="C5" t="str">
            <v>Current Price</v>
          </cell>
          <cell r="D5" t="str">
            <v>10MA</v>
          </cell>
          <cell r="E5" t="str">
            <v>50MA</v>
          </cell>
          <cell r="F5" t="str">
            <v>100MA</v>
          </cell>
          <cell r="G5" t="str">
            <v>200MA</v>
          </cell>
          <cell r="H5" t="str">
            <v>10MA Trend</v>
          </cell>
          <cell r="I5" t="str">
            <v>50MA Trend</v>
          </cell>
          <cell r="J5" t="str">
            <v>100MA Trend</v>
          </cell>
          <cell r="K5" t="str">
            <v>200MA Trend</v>
          </cell>
        </row>
        <row r="6">
          <cell r="B6" t="str">
            <v>ASIANPAINT</v>
          </cell>
          <cell r="C6">
            <v>2431.6</v>
          </cell>
          <cell r="D6">
            <v>2437.4350000000004</v>
          </cell>
          <cell r="E6">
            <v>2301.6080000000002</v>
          </cell>
          <cell r="F6">
            <v>2310.8255000000004</v>
          </cell>
          <cell r="G6">
            <v>2661.4019999999996</v>
          </cell>
          <cell r="H6">
            <v>3.7400000000002365</v>
          </cell>
          <cell r="I6">
            <v>3.3640000000000327</v>
          </cell>
          <cell r="J6">
            <v>-0.26450000000022555</v>
          </cell>
          <cell r="K6">
            <v>-2.5165000000001783</v>
          </cell>
        </row>
        <row r="7">
          <cell r="B7" t="str">
            <v>BERGEPAINT</v>
          </cell>
          <cell r="C7">
            <v>552.5</v>
          </cell>
          <cell r="D7">
            <v>553.92499999999995</v>
          </cell>
          <cell r="E7">
            <v>508.27700000000004</v>
          </cell>
          <cell r="F7">
            <v>487.89550000000008</v>
          </cell>
          <cell r="G7">
            <v>520.27275000000009</v>
          </cell>
          <cell r="H7">
            <v>1.6949999999999363</v>
          </cell>
          <cell r="I7">
            <v>1.5299999999999727</v>
          </cell>
          <cell r="J7">
            <v>0.63049999999998363</v>
          </cell>
          <cell r="K7">
            <v>0.19749999999999091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FD6A-5A3F-4B90-96B3-18FF85FE4B1A}">
  <dimension ref="A1:L14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6" sqref="M16"/>
    </sheetView>
  </sheetViews>
  <sheetFormatPr defaultRowHeight="14.4" x14ac:dyDescent="0.3"/>
  <cols>
    <col min="1" max="1" width="11.109375" bestFit="1" customWidth="1"/>
    <col min="2" max="2" width="12.88671875" bestFit="1" customWidth="1"/>
    <col min="3" max="3" width="11.5546875" bestFit="1" customWidth="1"/>
    <col min="4" max="5" width="5.77734375" bestFit="1" customWidth="1"/>
    <col min="6" max="7" width="6.77734375" bestFit="1" customWidth="1"/>
    <col min="8" max="9" width="10.88671875" bestFit="1" customWidth="1"/>
    <col min="10" max="11" width="11.88671875" bestFit="1" customWidth="1"/>
    <col min="12" max="12" width="3" bestFit="1" customWidth="1"/>
  </cols>
  <sheetData>
    <row r="1" spans="1:12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3">
      <c r="A2" t="s">
        <v>0</v>
      </c>
    </row>
    <row r="3" spans="1:12" x14ac:dyDescent="0.3">
      <c r="B3">
        <f>[2]Summary!B5</f>
        <v>0</v>
      </c>
      <c r="C3" t="str">
        <f>[2]Summary!C5</f>
        <v>Current Price</v>
      </c>
      <c r="D3" t="str">
        <f>[2]Summary!D5</f>
        <v>10MA</v>
      </c>
      <c r="E3" t="str">
        <f>[2]Summary!E5</f>
        <v>50MA</v>
      </c>
      <c r="F3" t="str">
        <f>[2]Summary!F5</f>
        <v>100MA</v>
      </c>
      <c r="G3" t="str">
        <f>[2]Summary!G5</f>
        <v>200MA</v>
      </c>
      <c r="H3" t="str">
        <f>[2]Summary!H5</f>
        <v>10MA Trend</v>
      </c>
      <c r="I3" t="str">
        <f>[2]Summary!I5</f>
        <v>50MA Trend</v>
      </c>
      <c r="J3" t="str">
        <f>[2]Summary!J5</f>
        <v>100MA Trend</v>
      </c>
      <c r="K3" t="str">
        <f>[2]Summary!K5</f>
        <v>200MA Trend</v>
      </c>
    </row>
    <row r="4" spans="1:12" x14ac:dyDescent="0.3">
      <c r="A4">
        <v>1</v>
      </c>
      <c r="B4" t="str">
        <f>[2]Summary!B6</f>
        <v>BSOFT</v>
      </c>
      <c r="C4">
        <f ca="1">[2]Summary!C6</f>
        <v>390</v>
      </c>
      <c r="D4">
        <f ca="1">[2]Summary!D6</f>
        <v>381.77000000000004</v>
      </c>
      <c r="E4">
        <f ca="1">[2]Summary!E6</f>
        <v>416.69399999999996</v>
      </c>
      <c r="F4">
        <f ca="1">[2]Summary!F6</f>
        <v>488.85749999999985</v>
      </c>
      <c r="G4">
        <f ca="1">[2]Summary!G6</f>
        <v>554.15974999999992</v>
      </c>
      <c r="H4">
        <f ca="1">[2]Summary!H6</f>
        <v>3.3300000000000409</v>
      </c>
      <c r="I4">
        <f ca="1">[2]Summary!I6</f>
        <v>-2.8869999999999436</v>
      </c>
      <c r="J4">
        <f ca="1">[2]Summary!J6</f>
        <v>-2.0065000000000168</v>
      </c>
      <c r="K4">
        <f ca="1">[2]Summary!K6</f>
        <v>-1.6235000000000355</v>
      </c>
    </row>
    <row r="5" spans="1:12" x14ac:dyDescent="0.3">
      <c r="A5">
        <v>2</v>
      </c>
      <c r="B5" t="str">
        <f>[2]Summary!B7</f>
        <v>HCLTECH</v>
      </c>
      <c r="C5">
        <f ca="1">[2]Summary!C7</f>
        <v>1549.3</v>
      </c>
      <c r="D5">
        <f ca="1">[2]Summary!D7</f>
        <v>1495.6849999999999</v>
      </c>
      <c r="E5">
        <f ca="1">[2]Summary!E7</f>
        <v>1571.0359999999998</v>
      </c>
      <c r="F5">
        <f ca="1">[2]Summary!F7</f>
        <v>1715.317</v>
      </c>
      <c r="G5">
        <f ca="1">[2]Summary!G7</f>
        <v>1728.8432499999988</v>
      </c>
      <c r="H5">
        <f ca="1">[2]Summary!H7</f>
        <v>16.930000000000064</v>
      </c>
      <c r="I5">
        <f ca="1">[2]Summary!I7</f>
        <v>-3.5270000000000437</v>
      </c>
      <c r="J5">
        <f ca="1">[2]Summary!J7</f>
        <v>-2.9875000000001819</v>
      </c>
      <c r="K5">
        <f ca="1">[2]Summary!K7</f>
        <v>0.14949999999953434</v>
      </c>
    </row>
    <row r="6" spans="1:12" x14ac:dyDescent="0.3">
      <c r="A6">
        <v>3</v>
      </c>
      <c r="B6" t="str">
        <f>[2]Summary!B8</f>
        <v>INFY</v>
      </c>
      <c r="C6">
        <f ca="1">[2]Summary!C8</f>
        <v>1482.1</v>
      </c>
      <c r="D6">
        <f ca="1">[2]Summary!D8</f>
        <v>1445.0450000000003</v>
      </c>
      <c r="E6">
        <f ca="1">[2]Summary!E8</f>
        <v>1623.703</v>
      </c>
      <c r="F6">
        <f ca="1">[2]Summary!F8</f>
        <v>1766.5914999999993</v>
      </c>
      <c r="G6">
        <f ca="1">[2]Summary!G8</f>
        <v>1812.0230000000001</v>
      </c>
      <c r="H6">
        <f ca="1">[2]Summary!H8</f>
        <v>7.8400000000001455</v>
      </c>
      <c r="I6">
        <f ca="1">[2]Summary!I8</f>
        <v>-8.4309999999995853</v>
      </c>
      <c r="J6">
        <f ca="1">[2]Summary!J8</f>
        <v>-3.7574999999999363</v>
      </c>
      <c r="K6">
        <f ca="1">[2]Summary!K8</f>
        <v>-0.82675000000017462</v>
      </c>
    </row>
    <row r="7" spans="1:12" x14ac:dyDescent="0.3">
      <c r="A7">
        <v>4</v>
      </c>
      <c r="B7" t="str">
        <f>[2]Summary!B9</f>
        <v>MPHASIS</v>
      </c>
      <c r="C7">
        <f ca="1">[2]Summary!C9</f>
        <v>2503.4</v>
      </c>
      <c r="D7">
        <f ca="1">[2]Summary!D9</f>
        <v>2377.0950000000003</v>
      </c>
      <c r="E7">
        <f ca="1">[2]Summary!E9</f>
        <v>2401.4499999999998</v>
      </c>
      <c r="F7">
        <f ca="1">[2]Summary!F9</f>
        <v>2672.0100000000007</v>
      </c>
      <c r="G7">
        <f ca="1">[2]Summary!G9</f>
        <v>2798.9687500000005</v>
      </c>
      <c r="H7">
        <f ca="1">[2]Summary!H9</f>
        <v>38.580000000000382</v>
      </c>
      <c r="I7">
        <f ca="1">[2]Summary!I9</f>
        <v>-7.3020000000001346</v>
      </c>
      <c r="J7">
        <f ca="1">[2]Summary!J9</f>
        <v>-4.711500000000342</v>
      </c>
      <c r="K7">
        <f ca="1">[2]Summary!K9</f>
        <v>-0.62750000000005457</v>
      </c>
    </row>
    <row r="8" spans="1:12" x14ac:dyDescent="0.3">
      <c r="A8">
        <v>5</v>
      </c>
      <c r="B8" t="str">
        <f>[2]Summary!B10</f>
        <v>NAUKRI</v>
      </c>
      <c r="C8">
        <f ca="1">[2]Summary!C10</f>
        <v>6977.5</v>
      </c>
      <c r="D8">
        <f ca="1">[2]Summary!D10</f>
        <v>6893.93</v>
      </c>
      <c r="E8">
        <f ca="1">[2]Summary!E10</f>
        <v>6992.4130000000005</v>
      </c>
      <c r="F8">
        <f ca="1">[2]Summary!F10</f>
        <v>7574.4285000000018</v>
      </c>
      <c r="G8">
        <f ca="1">[2]Summary!G10</f>
        <v>7583.7492499999989</v>
      </c>
      <c r="H8">
        <f ca="1">[2]Summary!H10</f>
        <v>57.074999999999818</v>
      </c>
      <c r="I8">
        <f ca="1">[2]Summary!I10</f>
        <v>-17.651999999999134</v>
      </c>
      <c r="J8">
        <f ca="1">[2]Summary!J10</f>
        <v>-12.778000000001157</v>
      </c>
      <c r="K8">
        <f ca="1">[2]Summary!K10</f>
        <v>0.83999999999923602</v>
      </c>
    </row>
    <row r="9" spans="1:12" x14ac:dyDescent="0.3">
      <c r="A9">
        <v>6</v>
      </c>
      <c r="B9" t="str">
        <f>[2]Summary!B11</f>
        <v>TCS</v>
      </c>
      <c r="C9">
        <f ca="1">[2]Summary!C11</f>
        <v>3443.5</v>
      </c>
      <c r="D9">
        <f ca="1">[2]Summary!D11</f>
        <v>3339.45</v>
      </c>
      <c r="E9">
        <f ca="1">[2]Summary!E11</f>
        <v>3563.2940000000003</v>
      </c>
      <c r="F9">
        <f ca="1">[2]Summary!F11</f>
        <v>3881.7464999999997</v>
      </c>
      <c r="G9">
        <f ca="1">[2]Summary!G11</f>
        <v>4070.8899999999994</v>
      </c>
      <c r="H9">
        <f ca="1">[2]Summary!H11</f>
        <v>19.690000000000055</v>
      </c>
      <c r="I9">
        <f ca="1">[2]Summary!I11</f>
        <v>-11.717999999999847</v>
      </c>
      <c r="J9">
        <f ca="1">[2]Summary!J11</f>
        <v>-8.2734999999997854</v>
      </c>
      <c r="K9">
        <f ca="1">[2]Summary!K11</f>
        <v>-2.8415000000004511</v>
      </c>
    </row>
    <row r="10" spans="1:12" x14ac:dyDescent="0.3">
      <c r="A10">
        <v>7</v>
      </c>
      <c r="B10" t="str">
        <f>[2]Summary!B12</f>
        <v>TECHM</v>
      </c>
      <c r="C10">
        <f ca="1">[2]Summary!C12</f>
        <v>1461.5</v>
      </c>
      <c r="D10">
        <f ca="1">[2]Summary!D12</f>
        <v>1375.7750000000001</v>
      </c>
      <c r="E10">
        <f ca="1">[2]Summary!E12</f>
        <v>1475.81</v>
      </c>
      <c r="F10">
        <f ca="1">[2]Summary!F12</f>
        <v>1591.1299999999997</v>
      </c>
      <c r="G10">
        <f ca="1">[2]Summary!G12</f>
        <v>1602.0077499999998</v>
      </c>
      <c r="H10">
        <f ca="1">[2]Summary!H12</f>
        <v>18.875</v>
      </c>
      <c r="I10">
        <f ca="1">[2]Summary!I12</f>
        <v>-4.61200000000008</v>
      </c>
      <c r="J10">
        <f ca="1">[2]Summary!J12</f>
        <v>-2.5080000000000382</v>
      </c>
      <c r="K10">
        <f ca="1">[2]Summary!K12</f>
        <v>7.5000000015279511E-4</v>
      </c>
    </row>
    <row r="11" spans="1:12" x14ac:dyDescent="0.3">
      <c r="A11">
        <v>8</v>
      </c>
      <c r="B11" t="str">
        <f>[2]Summary!B13</f>
        <v>WIPRO</v>
      </c>
      <c r="C11">
        <f ca="1">[2]Summary!C13</f>
        <v>240.5</v>
      </c>
      <c r="D11">
        <f ca="1">[2]Summary!D13</f>
        <v>240.86500000000007</v>
      </c>
      <c r="E11">
        <f ca="1">[2]Summary!E13</f>
        <v>272.09799999999996</v>
      </c>
      <c r="F11">
        <f ca="1">[2]Summary!F13</f>
        <v>288.03649999999982</v>
      </c>
      <c r="G11">
        <f ca="1">[2]Summary!G13</f>
        <v>278.21199999999976</v>
      </c>
      <c r="H11">
        <f ca="1">[2]Summary!H13</f>
        <v>0.38500000000004775</v>
      </c>
      <c r="I11">
        <f ca="1">[2]Summary!I13</f>
        <v>-1.5500000000000114</v>
      </c>
      <c r="J11">
        <f ca="1">[2]Summary!J13</f>
        <v>-0.48400000000003729</v>
      </c>
      <c r="K11">
        <f ca="1">[2]Summary!K13</f>
        <v>-0.13525000000009868</v>
      </c>
    </row>
    <row r="12" spans="1:12" x14ac:dyDescent="0.3">
      <c r="A12">
        <v>9</v>
      </c>
      <c r="B12" t="str">
        <f>[2]Summary!B14</f>
        <v>COFORGE</v>
      </c>
      <c r="C12">
        <f ca="1">[2]Summary!C14</f>
        <v>7377.5</v>
      </c>
      <c r="D12">
        <f ca="1">[2]Summary!D14</f>
        <v>6909.5149999999994</v>
      </c>
      <c r="E12">
        <f ca="1">[2]Summary!E14</f>
        <v>7432.6290000000017</v>
      </c>
      <c r="F12">
        <f ca="1">[2]Summary!F14</f>
        <v>8217.8314999999948</v>
      </c>
      <c r="G12">
        <f ca="1">[2]Summary!G14</f>
        <v>7552.5884999999998</v>
      </c>
      <c r="H12">
        <f ca="1">[2]Summary!H14</f>
        <v>105.38499999999931</v>
      </c>
      <c r="I12">
        <f ca="1">[2]Summary!I14</f>
        <v>-23.166999999997643</v>
      </c>
      <c r="J12">
        <f ca="1">[2]Summary!J14</f>
        <v>-13.083499999998821</v>
      </c>
      <c r="K12">
        <f ca="1">[2]Summary!K14</f>
        <v>7.536750000000211</v>
      </c>
    </row>
    <row r="13" spans="1:12" x14ac:dyDescent="0.3">
      <c r="A13">
        <v>10</v>
      </c>
      <c r="B13">
        <f>[2]Summary!B15</f>
        <v>0</v>
      </c>
      <c r="C13">
        <f>[2]Summary!C15</f>
        <v>0</v>
      </c>
      <c r="D13">
        <f>[2]Summary!D15</f>
        <v>0</v>
      </c>
      <c r="E13">
        <f>[2]Summary!E15</f>
        <v>0</v>
      </c>
      <c r="F13">
        <f>[2]Summary!F15</f>
        <v>0</v>
      </c>
      <c r="G13">
        <f>[2]Summary!G15</f>
        <v>0</v>
      </c>
      <c r="H13">
        <f>[2]Summary!H15</f>
        <v>0</v>
      </c>
      <c r="I13">
        <f>[2]Summary!I15</f>
        <v>0</v>
      </c>
      <c r="J13">
        <f>[2]Summary!J15</f>
        <v>0</v>
      </c>
      <c r="K13">
        <f>[2]Summary!K15</f>
        <v>0</v>
      </c>
    </row>
    <row r="14" spans="1:12" x14ac:dyDescent="0.3">
      <c r="A14">
        <v>11</v>
      </c>
      <c r="B14">
        <f>[2]Summary!B16</f>
        <v>0</v>
      </c>
      <c r="C14">
        <f>[2]Summary!C16</f>
        <v>0</v>
      </c>
      <c r="D14">
        <f>[2]Summary!D16</f>
        <v>0</v>
      </c>
      <c r="E14">
        <f>[2]Summary!E16</f>
        <v>0</v>
      </c>
      <c r="F14">
        <f>[2]Summary!F16</f>
        <v>0</v>
      </c>
      <c r="G14">
        <f>[2]Summary!G16</f>
        <v>0</v>
      </c>
      <c r="H14">
        <f>[2]Summary!H16</f>
        <v>0</v>
      </c>
      <c r="I14">
        <f>[2]Summary!I16</f>
        <v>0</v>
      </c>
      <c r="J14">
        <f>[2]Summary!J16</f>
        <v>0</v>
      </c>
      <c r="K14">
        <f>[2]Summary!K16</f>
        <v>0</v>
      </c>
    </row>
    <row r="20" spans="1:11" x14ac:dyDescent="0.3">
      <c r="A20" t="s">
        <v>1</v>
      </c>
    </row>
    <row r="21" spans="1:11" x14ac:dyDescent="0.3">
      <c r="B21">
        <f>[3]Summary!B5</f>
        <v>0</v>
      </c>
      <c r="C21" t="str">
        <f>[3]Summary!C5</f>
        <v>Current Price</v>
      </c>
      <c r="D21" t="str">
        <f>[3]Summary!D5</f>
        <v>10MA</v>
      </c>
      <c r="E21" t="str">
        <f>[3]Summary!E5</f>
        <v>50MA</v>
      </c>
      <c r="F21" t="str">
        <f>[3]Summary!F5</f>
        <v>100MA</v>
      </c>
      <c r="G21" t="str">
        <f>[3]Summary!G5</f>
        <v>200MA</v>
      </c>
      <c r="H21" t="str">
        <f>[3]Summary!H5</f>
        <v>10MA Trend</v>
      </c>
      <c r="I21" t="str">
        <f>[3]Summary!I5</f>
        <v>50MA Trend</v>
      </c>
      <c r="J21" t="str">
        <f>[3]Summary!J5</f>
        <v>100MA Trend</v>
      </c>
      <c r="K21" t="str">
        <f>[3]Summary!K5</f>
        <v>200MA Trend</v>
      </c>
    </row>
    <row r="22" spans="1:11" x14ac:dyDescent="0.3">
      <c r="A22">
        <v>1</v>
      </c>
      <c r="B22" t="str">
        <f>[3]Summary!B6</f>
        <v>HDFCBANK</v>
      </c>
      <c r="C22">
        <f>[3]Summary!C6</f>
        <v>1911.2</v>
      </c>
      <c r="D22">
        <f>[3]Summary!D6</f>
        <v>1886.2049999999999</v>
      </c>
      <c r="E22">
        <f>[3]Summary!E6</f>
        <v>1764.6980000000005</v>
      </c>
      <c r="F22">
        <f>[3]Summary!F6</f>
        <v>1755.8025000000009</v>
      </c>
      <c r="G22">
        <f>[3]Summary!G6</f>
        <v>1716.6989999999994</v>
      </c>
      <c r="H22">
        <f>[3]Summary!H6</f>
        <v>14.204999999999927</v>
      </c>
      <c r="I22">
        <f>[3]Summary!I6</f>
        <v>3.3470000000002074</v>
      </c>
      <c r="J22">
        <f>[3]Summary!J6</f>
        <v>1.1805000000001655</v>
      </c>
      <c r="K22">
        <f>[3]Summary!K6</f>
        <v>0.92024999999989632</v>
      </c>
    </row>
    <row r="23" spans="1:11" x14ac:dyDescent="0.3">
      <c r="A23">
        <v>2</v>
      </c>
      <c r="B23" t="str">
        <f>[3]Summary!B7</f>
        <v>ICICIBANK</v>
      </c>
      <c r="C23">
        <f>[3]Summary!C7</f>
        <v>1404.8</v>
      </c>
      <c r="D23">
        <f>[3]Summary!D7</f>
        <v>1378.395</v>
      </c>
      <c r="E23">
        <f>[3]Summary!E7</f>
        <v>1292.509</v>
      </c>
      <c r="F23">
        <f>[3]Summary!F7</f>
        <v>1284.5259999999996</v>
      </c>
      <c r="G23">
        <f>[3]Summary!G7</f>
        <v>1264.6770000000006</v>
      </c>
      <c r="H23">
        <f>[3]Summary!H7</f>
        <v>10.490000000000009</v>
      </c>
      <c r="I23">
        <f>[3]Summary!I7</f>
        <v>2.6480000000001382</v>
      </c>
      <c r="J23">
        <f>[3]Summary!J7</f>
        <v>1.1844999999998436</v>
      </c>
      <c r="K23">
        <f>[3]Summary!K7</f>
        <v>0.8589999999999236</v>
      </c>
    </row>
    <row r="24" spans="1:11" x14ac:dyDescent="0.3">
      <c r="A24">
        <v>3</v>
      </c>
      <c r="B24" t="str">
        <f>[3]Summary!B8</f>
        <v>SBIN</v>
      </c>
      <c r="C24">
        <f>[3]Summary!C8</f>
        <v>798.65</v>
      </c>
      <c r="D24">
        <f>[3]Summary!D8</f>
        <v>789.33500000000004</v>
      </c>
      <c r="E24">
        <f>[3]Summary!E8</f>
        <v>748.58</v>
      </c>
      <c r="F24">
        <f>[3]Summary!F8</f>
        <v>772.53849999999977</v>
      </c>
      <c r="G24">
        <f>[3]Summary!G8</f>
        <v>796.15449999999942</v>
      </c>
      <c r="H24">
        <f>[3]Summary!H8</f>
        <v>3.0049999999999955</v>
      </c>
      <c r="I24">
        <f>[3]Summary!I8</f>
        <v>0.92799999999988358</v>
      </c>
      <c r="J24">
        <f>[3]Summary!J8</f>
        <v>-0.40200000000015734</v>
      </c>
      <c r="K24">
        <f>[3]Summary!K8</f>
        <v>-0.20325000000013915</v>
      </c>
    </row>
    <row r="25" spans="1:11" x14ac:dyDescent="0.3">
      <c r="A25">
        <v>4</v>
      </c>
      <c r="B25" t="str">
        <f>[3]Summary!B9</f>
        <v>AUBANK</v>
      </c>
      <c r="C25">
        <f>[3]Summary!C9</f>
        <v>675.15</v>
      </c>
      <c r="D25">
        <f>[3]Summary!D9</f>
        <v>611.53500000000008</v>
      </c>
      <c r="E25">
        <f>[3]Summary!E9</f>
        <v>555.12299999999993</v>
      </c>
      <c r="F25">
        <f>[3]Summary!F9</f>
        <v>567.70299999999997</v>
      </c>
      <c r="G25">
        <f>[3]Summary!G9</f>
        <v>611.17999999999984</v>
      </c>
      <c r="H25">
        <f>[3]Summary!H9</f>
        <v>12.955000000000041</v>
      </c>
      <c r="I25">
        <f>[3]Summary!I9</f>
        <v>1.7779999999999063</v>
      </c>
      <c r="J25">
        <f>[3]Summary!J9</f>
        <v>0.89349999999990359</v>
      </c>
      <c r="K25">
        <f>[3]Summary!K9</f>
        <v>8.4999999999126885E-3</v>
      </c>
    </row>
    <row r="26" spans="1:11" x14ac:dyDescent="0.3">
      <c r="A26">
        <v>5</v>
      </c>
      <c r="B26" t="str">
        <f>[3]Summary!B10</f>
        <v>AXISBANK</v>
      </c>
      <c r="C26">
        <f>[3]Summary!C10</f>
        <v>1166.3</v>
      </c>
      <c r="D26">
        <f>[3]Summary!D10</f>
        <v>1161.56</v>
      </c>
      <c r="E26">
        <f>[3]Summary!E10</f>
        <v>1063.4309999999998</v>
      </c>
      <c r="F26">
        <f>[3]Summary!F10</f>
        <v>1063.5924999999995</v>
      </c>
      <c r="G26">
        <f>[3]Summary!G10</f>
        <v>1127.0802499999998</v>
      </c>
      <c r="H26">
        <f>[3]Summary!H10</f>
        <v>8.8449999999997999</v>
      </c>
      <c r="I26">
        <f>[3]Summary!I10</f>
        <v>2.9120000000000346</v>
      </c>
      <c r="J26">
        <f>[3]Summary!J10</f>
        <v>0.33799999999996544</v>
      </c>
      <c r="K26">
        <f>[3]Summary!K10</f>
        <v>-0.57300000000009277</v>
      </c>
    </row>
    <row r="27" spans="1:11" x14ac:dyDescent="0.3">
      <c r="A27">
        <v>6</v>
      </c>
      <c r="B27" t="str">
        <f>[3]Summary!B11</f>
        <v>KOTAKBANK</v>
      </c>
      <c r="C27">
        <f>[3]Summary!C11</f>
        <v>2204.4</v>
      </c>
      <c r="D27">
        <f>[3]Summary!D11</f>
        <v>2176.02</v>
      </c>
      <c r="E27">
        <f>[3]Summary!E11</f>
        <v>2041.7580000000007</v>
      </c>
      <c r="F27">
        <f>[3]Summary!F11</f>
        <v>1927.4675000000002</v>
      </c>
      <c r="G27">
        <f>[3]Summary!G11</f>
        <v>1863.8437500000007</v>
      </c>
      <c r="H27">
        <f>[3]Summary!H11</f>
        <v>14.924999999999727</v>
      </c>
      <c r="I27">
        <f>[3]Summary!I11</f>
        <v>5.7690000000002328</v>
      </c>
      <c r="J27">
        <f>[3]Summary!J11</f>
        <v>4.4519999999997708</v>
      </c>
      <c r="K27">
        <f>[3]Summary!K11</f>
        <v>1.8527500000002419</v>
      </c>
    </row>
    <row r="28" spans="1:11" x14ac:dyDescent="0.3">
      <c r="A28">
        <v>7</v>
      </c>
      <c r="B28" t="str">
        <f>[3]Summary!B12</f>
        <v>BAJAJFINSV</v>
      </c>
      <c r="C28">
        <f>[3]Summary!C12</f>
        <v>2045.5</v>
      </c>
      <c r="D28">
        <f>[3]Summary!D12</f>
        <v>2024.6299999999999</v>
      </c>
      <c r="E28">
        <f>[3]Summary!E12</f>
        <v>1898.4080000000008</v>
      </c>
      <c r="F28">
        <f>[3]Summary!F12</f>
        <v>1787.1634999999997</v>
      </c>
      <c r="G28">
        <f>[3]Summary!G12</f>
        <v>1755.6880000000008</v>
      </c>
      <c r="H28">
        <f>[3]Summary!H12</f>
        <v>14.229999999999791</v>
      </c>
      <c r="I28">
        <f>[3]Summary!I12</f>
        <v>5.1500000000000909</v>
      </c>
      <c r="J28">
        <f>[3]Summary!J12</f>
        <v>4.7045000000000528</v>
      </c>
      <c r="K28">
        <f>[3]Summary!K12</f>
        <v>2.2990000000002055</v>
      </c>
    </row>
    <row r="29" spans="1:11" x14ac:dyDescent="0.3">
      <c r="A29">
        <v>8</v>
      </c>
      <c r="B29" t="str">
        <f>[3]Summary!B13</f>
        <v>BAJFINANCE</v>
      </c>
      <c r="C29">
        <f>[3]Summary!C13</f>
        <v>9112</v>
      </c>
      <c r="D29">
        <f>[3]Summary!D13</f>
        <v>9128.69</v>
      </c>
      <c r="E29">
        <f>[3]Summary!E13</f>
        <v>8680.2400000000016</v>
      </c>
      <c r="F29">
        <f>[3]Summary!F13</f>
        <v>7977.3339999999998</v>
      </c>
      <c r="G29">
        <f>[3]Summary!G13</f>
        <v>7485.7717500000017</v>
      </c>
      <c r="H29">
        <f>[3]Summary!H13</f>
        <v>28.975000000000364</v>
      </c>
      <c r="I29">
        <f>[3]Summary!I13</f>
        <v>12.09400000000096</v>
      </c>
      <c r="J29">
        <f>[3]Summary!J13</f>
        <v>26.026000000000749</v>
      </c>
      <c r="K29">
        <f>[3]Summary!K13</f>
        <v>10.024749999999585</v>
      </c>
    </row>
    <row r="30" spans="1:11" x14ac:dyDescent="0.3">
      <c r="A30">
        <v>9</v>
      </c>
      <c r="B30" t="str">
        <f>[3]Summary!B14</f>
        <v>BANDHANBNK</v>
      </c>
      <c r="C30">
        <f>[3]Summary!C14</f>
        <v>165.45</v>
      </c>
      <c r="D30">
        <f>[3]Summary!D14</f>
        <v>161.10599999999999</v>
      </c>
      <c r="E30">
        <f>[3]Summary!E14</f>
        <v>147.0788</v>
      </c>
      <c r="F30">
        <f>[3]Summary!F14</f>
        <v>152.83620000000005</v>
      </c>
      <c r="G30">
        <f>[3]Summary!G14</f>
        <v>172.89875000000004</v>
      </c>
      <c r="H30">
        <f>[3]Summary!H14</f>
        <v>1.5449999999999875</v>
      </c>
      <c r="I30">
        <f>[3]Summary!I14</f>
        <v>0.26339999999996166</v>
      </c>
      <c r="J30">
        <f>[3]Summary!J14</f>
        <v>-5.5100000000010141E-2</v>
      </c>
      <c r="K30">
        <f>[3]Summary!K14</f>
        <v>-0.21305000000000973</v>
      </c>
    </row>
    <row r="31" spans="1:11" x14ac:dyDescent="0.3">
      <c r="A31">
        <v>10</v>
      </c>
      <c r="B31" t="str">
        <f>[3]Summary!B15</f>
        <v>BANKBARODA</v>
      </c>
      <c r="C31">
        <f>[3]Summary!C15</f>
        <v>246.79</v>
      </c>
      <c r="D31">
        <f>[3]Summary!D15</f>
        <v>243.34</v>
      </c>
      <c r="E31">
        <f>[3]Summary!E15</f>
        <v>219.46519999999998</v>
      </c>
      <c r="F31">
        <f>[3]Summary!F15</f>
        <v>228.38400000000004</v>
      </c>
      <c r="G31">
        <f>[3]Summary!G15</f>
        <v>237.85469999999984</v>
      </c>
      <c r="H31">
        <f>[3]Summary!H15</f>
        <v>1.0949999999999704</v>
      </c>
      <c r="I31">
        <f>[3]Summary!I15</f>
        <v>0.54160000000004516</v>
      </c>
      <c r="J31">
        <f>[3]Summary!J15</f>
        <v>-2.2099999999994679E-2</v>
      </c>
      <c r="K31">
        <f>[3]Summary!K15</f>
        <v>-0.11679999999998358</v>
      </c>
    </row>
    <row r="32" spans="1:11" x14ac:dyDescent="0.3">
      <c r="A32">
        <v>11</v>
      </c>
      <c r="B32" t="str">
        <f>[3]Summary!B16</f>
        <v>CANFINHOME</v>
      </c>
      <c r="C32">
        <f>[3]Summary!C16</f>
        <v>723.15</v>
      </c>
      <c r="D32">
        <f>[3]Summary!D16</f>
        <v>704.07500000000005</v>
      </c>
      <c r="E32">
        <f>[3]Summary!E16</f>
        <v>645.03199999999993</v>
      </c>
      <c r="F32">
        <f>[3]Summary!F16</f>
        <v>687.24599999999975</v>
      </c>
      <c r="G32">
        <f>[3]Summary!G16</f>
        <v>771.52024999999981</v>
      </c>
      <c r="H32">
        <f>[3]Summary!H16</f>
        <v>6.30499999999995</v>
      </c>
      <c r="I32">
        <f>[3]Summary!I16</f>
        <v>1.1220000000000709</v>
      </c>
      <c r="J32">
        <f>[3]Summary!J16</f>
        <v>-0.98699999999996635</v>
      </c>
      <c r="K32">
        <f>[3]Summary!K16</f>
        <v>-0.83724999999992633</v>
      </c>
    </row>
    <row r="33" spans="1:11" x14ac:dyDescent="0.3">
      <c r="A33">
        <v>12</v>
      </c>
      <c r="B33" t="str">
        <f>[3]Summary!B17</f>
        <v>CHOLAFIN</v>
      </c>
      <c r="C33">
        <f>[3]Summary!C17</f>
        <v>1543.5</v>
      </c>
      <c r="D33">
        <f>[3]Summary!D17</f>
        <v>1555.02</v>
      </c>
      <c r="E33">
        <f>[3]Summary!E17</f>
        <v>1459.501</v>
      </c>
      <c r="F33">
        <f>[3]Summary!F17</f>
        <v>1362.1450000000007</v>
      </c>
      <c r="G33">
        <f>[3]Summary!G17</f>
        <v>1388.566</v>
      </c>
      <c r="H33">
        <f>[3]Summary!H17</f>
        <v>8.0199999999999818</v>
      </c>
      <c r="I33">
        <f>[3]Summary!I17</f>
        <v>3.2319999999999709</v>
      </c>
      <c r="J33">
        <f>[3]Summary!J17</f>
        <v>2.7515000000000782</v>
      </c>
      <c r="K33">
        <f>[3]Summary!K17</f>
        <v>0.6089999999999236</v>
      </c>
    </row>
    <row r="34" spans="1:11" x14ac:dyDescent="0.3">
      <c r="A34">
        <v>13</v>
      </c>
      <c r="B34" t="str">
        <f>[3]Summary!B18</f>
        <v>COROMANDEL</v>
      </c>
      <c r="C34">
        <f>[3]Summary!C18</f>
        <v>2201.5</v>
      </c>
      <c r="D34">
        <f>[3]Summary!D18</f>
        <v>2152.0500000000002</v>
      </c>
      <c r="E34">
        <f>[3]Summary!E18</f>
        <v>1903.4160000000004</v>
      </c>
      <c r="F34">
        <f>[3]Summary!F18</f>
        <v>1869.8870000000004</v>
      </c>
      <c r="G34">
        <f>[3]Summary!G18</f>
        <v>1771.9590000000003</v>
      </c>
      <c r="H34">
        <f>[3]Summary!H18</f>
        <v>13.805000000000291</v>
      </c>
      <c r="I34">
        <f>[3]Summary!I18</f>
        <v>6.7279999999998381</v>
      </c>
      <c r="J34">
        <f>[3]Summary!J18</f>
        <v>4.4574999999999818</v>
      </c>
      <c r="K34">
        <f>[3]Summary!K18</f>
        <v>3.1097500000003038</v>
      </c>
    </row>
    <row r="35" spans="1:11" x14ac:dyDescent="0.3">
      <c r="A35">
        <v>14</v>
      </c>
      <c r="B35" t="str">
        <f>[3]Summary!B19</f>
        <v>FEDERALBNK</v>
      </c>
      <c r="C35">
        <f>[3]Summary!C19</f>
        <v>196.49</v>
      </c>
      <c r="D35">
        <f>[3]Summary!D19</f>
        <v>196.39100000000002</v>
      </c>
      <c r="E35">
        <f>[3]Summary!E19</f>
        <v>187.03220000000002</v>
      </c>
      <c r="F35">
        <f>[3]Summary!F19</f>
        <v>192.50710000000007</v>
      </c>
      <c r="G35">
        <f>[3]Summary!G19</f>
        <v>194.22370000000009</v>
      </c>
      <c r="H35">
        <f>[3]Summary!H19</f>
        <v>0.59600000000000364</v>
      </c>
      <c r="I35">
        <f>[3]Summary!I19</f>
        <v>0.25740000000001828</v>
      </c>
      <c r="J35">
        <f>[3]Summary!J19</f>
        <v>-0.14559999999997331</v>
      </c>
      <c r="K35">
        <f>[3]Summary!K19</f>
        <v>7.7600000000018099E-2</v>
      </c>
    </row>
    <row r="36" spans="1:11" x14ac:dyDescent="0.3">
      <c r="A36">
        <v>15</v>
      </c>
      <c r="B36" t="str">
        <f>[3]Summary!B20</f>
        <v>RBLBANK</v>
      </c>
      <c r="C36">
        <f>[3]Summary!C20</f>
        <v>188.09</v>
      </c>
      <c r="D36">
        <f>[3]Summary!D20</f>
        <v>184.94799999999998</v>
      </c>
      <c r="E36">
        <f>[3]Summary!E20</f>
        <v>168.41940000000002</v>
      </c>
      <c r="F36">
        <f>[3]Summary!F20</f>
        <v>165.41099999999997</v>
      </c>
      <c r="G36">
        <f>[3]Summary!G20</f>
        <v>185.33354999999995</v>
      </c>
      <c r="H36">
        <f>[3]Summary!H20</f>
        <v>1.8340000000000032</v>
      </c>
      <c r="I36">
        <f>[3]Summary!I20</f>
        <v>0.39500000000001023</v>
      </c>
      <c r="J36">
        <f>[3]Summary!J20</f>
        <v>0.3060000000000116</v>
      </c>
      <c r="K36">
        <f>[3]Summary!K20</f>
        <v>-0.39029999999999632</v>
      </c>
    </row>
    <row r="37" spans="1:11" x14ac:dyDescent="0.3">
      <c r="A37">
        <v>16</v>
      </c>
      <c r="B37" t="str">
        <f>[3]Summary!B21</f>
        <v>INDUSINDBK</v>
      </c>
      <c r="C37">
        <f>[3]Summary!C21</f>
        <v>822.35</v>
      </c>
      <c r="D37">
        <f>[3]Summary!D21</f>
        <v>773.89</v>
      </c>
      <c r="E37">
        <f>[3]Summary!E21</f>
        <v>839.12900000000013</v>
      </c>
      <c r="F37">
        <f>[3]Summary!F21</f>
        <v>907.90799999999979</v>
      </c>
      <c r="G37">
        <f>[3]Summary!G21</f>
        <v>1112.5422500000002</v>
      </c>
      <c r="H37">
        <f>[3]Summary!H21</f>
        <v>14.270000000000095</v>
      </c>
      <c r="I37">
        <f>[3]Summary!I21</f>
        <v>-4.8640000000000327</v>
      </c>
      <c r="J37">
        <f>[3]Summary!J21</f>
        <v>-1.7125000000000909</v>
      </c>
      <c r="K37">
        <f>[3]Summary!K21</f>
        <v>-3.1024999999999636</v>
      </c>
    </row>
    <row r="38" spans="1:11" x14ac:dyDescent="0.3">
      <c r="A38">
        <v>17</v>
      </c>
      <c r="B38" t="str">
        <f>[3]Summary!B22</f>
        <v>M&amp;MFIN</v>
      </c>
      <c r="C38">
        <f>[3]Summary!C22</f>
        <v>264.60000000000002</v>
      </c>
      <c r="D38">
        <f>[3]Summary!D22</f>
        <v>269.29499999999996</v>
      </c>
      <c r="E38">
        <f>[3]Summary!E22</f>
        <v>275.428</v>
      </c>
      <c r="F38">
        <f>[3]Summary!F22</f>
        <v>275.13149999999996</v>
      </c>
      <c r="G38">
        <f>[3]Summary!G22</f>
        <v>286.38949999999988</v>
      </c>
      <c r="H38">
        <f>[3]Summary!H22</f>
        <v>0.57999999999992724</v>
      </c>
      <c r="I38">
        <f>[3]Summary!I22</f>
        <v>-0.64900000000000091</v>
      </c>
      <c r="J38">
        <f>[3]Summary!J22</f>
        <v>-7.4000000000012278E-2</v>
      </c>
      <c r="K38">
        <f>[3]Summary!K22</f>
        <v>-0.16800000000000637</v>
      </c>
    </row>
    <row r="39" spans="1:11" x14ac:dyDescent="0.3">
      <c r="A39">
        <v>18</v>
      </c>
      <c r="B39" t="str">
        <f>[3]Summary!B23</f>
        <v>MANAPPURAM</v>
      </c>
      <c r="C39">
        <f>[3]Summary!C23</f>
        <v>226.93</v>
      </c>
      <c r="D39">
        <f>[3]Summary!D23</f>
        <v>228.59799999999996</v>
      </c>
      <c r="E39">
        <f>[3]Summary!E23</f>
        <v>215.08680000000001</v>
      </c>
      <c r="F39">
        <f>[3]Summary!F23</f>
        <v>199.80869999999999</v>
      </c>
      <c r="G39">
        <f>[3]Summary!G23</f>
        <v>195.40059999999997</v>
      </c>
      <c r="H39">
        <f>[3]Summary!H23</f>
        <v>-0.21300000000002228</v>
      </c>
      <c r="I39">
        <f>[3]Summary!I23</f>
        <v>0.41680000000002337</v>
      </c>
      <c r="J39">
        <f>[3]Summary!J23</f>
        <v>0.70220000000000482</v>
      </c>
      <c r="K39">
        <f>[3]Summary!K23</f>
        <v>9.2599999999947613E-2</v>
      </c>
    </row>
    <row r="40" spans="1:11" x14ac:dyDescent="0.3">
      <c r="A40">
        <v>19</v>
      </c>
      <c r="B40" t="str">
        <f>[3]Summary!B24</f>
        <v>MUTHOOTFIN</v>
      </c>
      <c r="C40">
        <f>[3]Summary!C24</f>
        <v>2093.1999999999998</v>
      </c>
      <c r="D40">
        <f>[3]Summary!D24</f>
        <v>2131.165</v>
      </c>
      <c r="E40">
        <f>[3]Summary!E24</f>
        <v>2232.9230000000002</v>
      </c>
      <c r="F40">
        <f>[3]Summary!F24</f>
        <v>2178.0659999999993</v>
      </c>
      <c r="G40">
        <f>[3]Summary!G24</f>
        <v>2041.8989999999999</v>
      </c>
      <c r="H40">
        <f>[3]Summary!H24</f>
        <v>-19.945000000000164</v>
      </c>
      <c r="I40">
        <f>[3]Summary!I24</f>
        <v>-2.8079999999999927</v>
      </c>
      <c r="J40">
        <f>[3]Summary!J24</f>
        <v>1.8125</v>
      </c>
      <c r="K40">
        <f>[3]Summary!K24</f>
        <v>1.4452499999999873</v>
      </c>
    </row>
    <row r="41" spans="1:11" x14ac:dyDescent="0.3">
      <c r="A41">
        <v>20</v>
      </c>
      <c r="B41" t="str">
        <f>[3]Summary!B25</f>
        <v>PNB</v>
      </c>
      <c r="C41">
        <f>[3]Summary!C25</f>
        <v>99.29</v>
      </c>
      <c r="D41">
        <f>[3]Summary!D25</f>
        <v>99.744000000000014</v>
      </c>
      <c r="E41">
        <f>[3]Summary!E25</f>
        <v>94.245000000000019</v>
      </c>
      <c r="F41">
        <f>[3]Summary!F25</f>
        <v>98.338400000000007</v>
      </c>
      <c r="G41">
        <f>[3]Summary!G25</f>
        <v>104.16819999999996</v>
      </c>
      <c r="H41">
        <f>[3]Summary!H25</f>
        <v>0.23800000000001376</v>
      </c>
      <c r="I41">
        <f>[3]Summary!I25</f>
        <v>-8.5999999999870624E-3</v>
      </c>
      <c r="J41">
        <f>[3]Summary!J25</f>
        <v>-6.9999999999993179E-2</v>
      </c>
      <c r="K41">
        <f>[3]Summary!K25</f>
        <v>-0.11120000000001085</v>
      </c>
    </row>
    <row r="42" spans="1:11" x14ac:dyDescent="0.3">
      <c r="A42">
        <v>21</v>
      </c>
      <c r="B42" t="str">
        <f>[3]Summary!B26</f>
        <v>ABCAPITAL</v>
      </c>
      <c r="C42">
        <f>[3]Summary!C26</f>
        <v>195.94</v>
      </c>
      <c r="D42">
        <f>[3]Summary!D26</f>
        <v>196.52499999999998</v>
      </c>
      <c r="E42">
        <f>[3]Summary!E26</f>
        <v>173.1396</v>
      </c>
      <c r="F42">
        <f>[3]Summary!F26</f>
        <v>177.80910000000006</v>
      </c>
      <c r="G42">
        <f>[3]Summary!G26</f>
        <v>196.99345000000002</v>
      </c>
      <c r="H42">
        <f>[3]Summary!H26</f>
        <v>1.1920000000000073</v>
      </c>
      <c r="I42">
        <f>[3]Summary!I26</f>
        <v>0.53499999999999659</v>
      </c>
      <c r="J42">
        <f>[3]Summary!J26</f>
        <v>2.1299999999996544E-2</v>
      </c>
      <c r="K42">
        <f>[3]Summary!K26</f>
        <v>-0.20719999999997185</v>
      </c>
    </row>
    <row r="43" spans="1:11" x14ac:dyDescent="0.3">
      <c r="A43">
        <v>22</v>
      </c>
      <c r="B43">
        <f>[3]Summary!B27</f>
        <v>0</v>
      </c>
      <c r="C43">
        <f>[3]Summary!C27</f>
        <v>0</v>
      </c>
      <c r="D43">
        <f>[3]Summary!D27</f>
        <v>0</v>
      </c>
      <c r="E43">
        <f>[3]Summary!E27</f>
        <v>0</v>
      </c>
      <c r="F43">
        <f>[3]Summary!F27</f>
        <v>0</v>
      </c>
      <c r="G43">
        <f>[3]Summary!G27</f>
        <v>0</v>
      </c>
      <c r="H43">
        <f>[3]Summary!H27</f>
        <v>0</v>
      </c>
      <c r="I43">
        <f>[3]Summary!I27</f>
        <v>0</v>
      </c>
      <c r="J43">
        <f>[3]Summary!J27</f>
        <v>0</v>
      </c>
      <c r="K43">
        <f>[3]Summary!K27</f>
        <v>0</v>
      </c>
    </row>
    <row r="44" spans="1:11" x14ac:dyDescent="0.3">
      <c r="A44">
        <v>23</v>
      </c>
      <c r="B44">
        <f>[3]Summary!B28</f>
        <v>0</v>
      </c>
      <c r="C44">
        <f>[3]Summary!C28</f>
        <v>0</v>
      </c>
      <c r="D44">
        <f>[3]Summary!D28</f>
        <v>0</v>
      </c>
      <c r="E44">
        <f>[3]Summary!E28</f>
        <v>0</v>
      </c>
      <c r="F44">
        <f>[3]Summary!F28</f>
        <v>0</v>
      </c>
      <c r="G44">
        <f>[3]Summary!G28</f>
        <v>0</v>
      </c>
      <c r="H44">
        <f>[3]Summary!H28</f>
        <v>0</v>
      </c>
      <c r="I44">
        <f>[3]Summary!I28</f>
        <v>0</v>
      </c>
      <c r="J44">
        <f>[3]Summary!J28</f>
        <v>0</v>
      </c>
      <c r="K44">
        <f>[3]Summary!K28</f>
        <v>0</v>
      </c>
    </row>
    <row r="45" spans="1:11" x14ac:dyDescent="0.3">
      <c r="A45">
        <v>24</v>
      </c>
      <c r="B45">
        <f>[3]Summary!B29</f>
        <v>0</v>
      </c>
      <c r="C45">
        <f>[3]Summary!C29</f>
        <v>0</v>
      </c>
      <c r="D45">
        <f>[3]Summary!D29</f>
        <v>0</v>
      </c>
      <c r="E45">
        <f>[3]Summary!E29</f>
        <v>0</v>
      </c>
      <c r="F45">
        <f>[3]Summary!F29</f>
        <v>0</v>
      </c>
      <c r="G45">
        <f>[3]Summary!G29</f>
        <v>0</v>
      </c>
      <c r="H45">
        <f>[3]Summary!H29</f>
        <v>0</v>
      </c>
      <c r="I45">
        <f>[3]Summary!I29</f>
        <v>0</v>
      </c>
      <c r="J45">
        <f>[3]Summary!J29</f>
        <v>0</v>
      </c>
      <c r="K45">
        <f>[3]Summary!K29</f>
        <v>0</v>
      </c>
    </row>
    <row r="48" spans="1:11" x14ac:dyDescent="0.3">
      <c r="A48" t="s">
        <v>2</v>
      </c>
      <c r="B48">
        <f>[4]Summary!B5</f>
        <v>0</v>
      </c>
      <c r="C48" t="str">
        <f>[4]Summary!C5</f>
        <v>Current Price</v>
      </c>
      <c r="D48" t="str">
        <f>[4]Summary!D5</f>
        <v>10MA</v>
      </c>
      <c r="E48" t="str">
        <f>[4]Summary!E5</f>
        <v>50MA</v>
      </c>
      <c r="F48" t="str">
        <f>[4]Summary!F5</f>
        <v>100MA</v>
      </c>
      <c r="G48" t="str">
        <f>[4]Summary!G5</f>
        <v>200MA</v>
      </c>
      <c r="H48" t="str">
        <f>[4]Summary!H5</f>
        <v>10MA Trend</v>
      </c>
      <c r="I48" t="str">
        <f>[4]Summary!I5</f>
        <v>50MA Trend</v>
      </c>
      <c r="J48" t="str">
        <f>[4]Summary!J5</f>
        <v>100MA Trend</v>
      </c>
      <c r="K48" t="str">
        <f>[4]Summary!K5</f>
        <v>200MA Trend</v>
      </c>
    </row>
    <row r="49" spans="1:11" x14ac:dyDescent="0.3">
      <c r="B49" t="str">
        <f>[4]Summary!B6</f>
        <v>BAJAJ-AUTO</v>
      </c>
      <c r="C49">
        <f>[4]Summary!C6</f>
        <v>8034</v>
      </c>
      <c r="D49">
        <f>[4]Summary!D6</f>
        <v>8020.1650000000009</v>
      </c>
      <c r="E49">
        <f>[4]Summary!E6</f>
        <v>8019.8050000000003</v>
      </c>
      <c r="F49">
        <f>[4]Summary!F6</f>
        <v>8416.6229999999996</v>
      </c>
      <c r="G49">
        <f>[4]Summary!G6</f>
        <v>9408.9517499999984</v>
      </c>
      <c r="H49">
        <f>[4]Summary!H6</f>
        <v>53.595000000001164</v>
      </c>
      <c r="I49">
        <f>[4]Summary!I6</f>
        <v>-16.246999999999389</v>
      </c>
      <c r="J49">
        <f>[4]Summary!J6</f>
        <v>-9.7950000000000728</v>
      </c>
      <c r="K49">
        <f>[4]Summary!K6</f>
        <v>-7.134250000000975</v>
      </c>
    </row>
    <row r="50" spans="1:11" x14ac:dyDescent="0.3">
      <c r="B50" t="str">
        <f>[4]Summary!B7</f>
        <v>MARUTI</v>
      </c>
      <c r="C50">
        <f>[4]Summary!C7</f>
        <v>11698</v>
      </c>
      <c r="D50">
        <f>[4]Summary!D7</f>
        <v>11724.844999999999</v>
      </c>
      <c r="E50">
        <f>[4]Summary!E7</f>
        <v>11941.529000000002</v>
      </c>
      <c r="F50">
        <f>[4]Summary!F7</f>
        <v>11795.328000000003</v>
      </c>
      <c r="G50">
        <f>[4]Summary!G7</f>
        <v>11982.652750000001</v>
      </c>
      <c r="H50">
        <f>[4]Summary!H7</f>
        <v>23.909999999999854</v>
      </c>
      <c r="I50">
        <f>[4]Summary!I7</f>
        <v>-27.519999999998618</v>
      </c>
      <c r="J50">
        <f>[4]Summary!J7</f>
        <v>7.481499999999869</v>
      </c>
      <c r="K50">
        <f>[4]Summary!K7</f>
        <v>-1.9580000000005384</v>
      </c>
    </row>
    <row r="51" spans="1:11" x14ac:dyDescent="0.3">
      <c r="B51" t="str">
        <f>[4]Summary!B8</f>
        <v>TATAMOTORS</v>
      </c>
      <c r="C51">
        <f>[4]Summary!C8</f>
        <v>655.25</v>
      </c>
      <c r="D51">
        <f>[4]Summary!D8</f>
        <v>628.21499999999992</v>
      </c>
      <c r="E51">
        <f>[4]Summary!E8</f>
        <v>657.68399999999997</v>
      </c>
      <c r="F51">
        <f>[4]Summary!F8</f>
        <v>708.11100000000022</v>
      </c>
      <c r="G51">
        <f>[4]Summary!G8</f>
        <v>837.71725000000015</v>
      </c>
      <c r="H51">
        <f>[4]Summary!H8</f>
        <v>6.6399999999998727</v>
      </c>
      <c r="I51">
        <f>[4]Summary!I8</f>
        <v>-1.0879999999999654</v>
      </c>
      <c r="J51">
        <f>[4]Summary!J8</f>
        <v>-1.2419999999999618</v>
      </c>
      <c r="K51">
        <f>[4]Summary!K8</f>
        <v>-1.7147500000000946</v>
      </c>
    </row>
    <row r="52" spans="1:11" x14ac:dyDescent="0.3">
      <c r="B52" t="str">
        <f>[4]Summary!B9</f>
        <v>TVSMOTOR</v>
      </c>
      <c r="C52">
        <f>[4]Summary!C9</f>
        <v>2737.9</v>
      </c>
      <c r="D52">
        <f>[4]Summary!D9</f>
        <v>2666.1150000000002</v>
      </c>
      <c r="E52">
        <f>[4]Summary!E9</f>
        <v>2439.6779999999985</v>
      </c>
      <c r="F52">
        <f>[4]Summary!F9</f>
        <v>2431.5250000000001</v>
      </c>
      <c r="G52">
        <f>[4]Summary!G9</f>
        <v>2521.3654999999999</v>
      </c>
      <c r="H52">
        <f>[4]Summary!H9</f>
        <v>30.025000000000091</v>
      </c>
      <c r="I52">
        <f>[4]Summary!I9</f>
        <v>2.9309999999995853</v>
      </c>
      <c r="J52">
        <f>[4]Summary!J9</f>
        <v>3.2245000000002619</v>
      </c>
      <c r="K52">
        <f>[4]Summary!K9</f>
        <v>1.8597500000000764</v>
      </c>
    </row>
    <row r="53" spans="1:11" x14ac:dyDescent="0.3">
      <c r="B53" t="str">
        <f>[4]Summary!B10</f>
        <v>EICHERMOT</v>
      </c>
      <c r="C53">
        <f>[4]Summary!C10</f>
        <v>5575.5</v>
      </c>
      <c r="D53">
        <f>[4]Summary!D10</f>
        <v>5599.27</v>
      </c>
      <c r="E53">
        <f>[4]Summary!E10</f>
        <v>5182.9639999999999</v>
      </c>
      <c r="F53">
        <f>[4]Summary!F10</f>
        <v>5095.8304999999991</v>
      </c>
      <c r="G53">
        <f>[4]Summary!G10</f>
        <v>4965.249499999999</v>
      </c>
      <c r="H53">
        <f>[4]Summary!H10</f>
        <v>34.414999999999964</v>
      </c>
      <c r="I53">
        <f>[4]Summary!I10</f>
        <v>4.6700000000000728</v>
      </c>
      <c r="J53">
        <f>[4]Summary!J10</f>
        <v>7.5979999999999563</v>
      </c>
      <c r="K53">
        <f>[4]Summary!K10</f>
        <v>4.430000000000291</v>
      </c>
    </row>
    <row r="54" spans="1:11" x14ac:dyDescent="0.3">
      <c r="B54" t="str">
        <f>[4]Summary!B11</f>
        <v>HEROMOTOCO</v>
      </c>
      <c r="C54">
        <f>[4]Summary!C11</f>
        <v>3895.5</v>
      </c>
      <c r="D54">
        <f>[4]Summary!D11</f>
        <v>3817.56</v>
      </c>
      <c r="E54">
        <f>[4]Summary!E11</f>
        <v>3755.2549999999992</v>
      </c>
      <c r="F54">
        <f>[4]Summary!F11</f>
        <v>4026.4844999999982</v>
      </c>
      <c r="G54">
        <f>[4]Summary!G11</f>
        <v>4689.695499999998</v>
      </c>
      <c r="H54">
        <f>[4]Summary!H11</f>
        <v>32.134999999999309</v>
      </c>
      <c r="I54">
        <f>[4]Summary!I11</f>
        <v>-6.691000000000713</v>
      </c>
      <c r="J54">
        <f>[4]Summary!J11</f>
        <v>-8.8800000000001091</v>
      </c>
      <c r="K54">
        <f>[4]Summary!K11</f>
        <v>-8.314249999999447</v>
      </c>
    </row>
    <row r="55" spans="1:11" x14ac:dyDescent="0.3">
      <c r="B55">
        <f>[4]Summary!B12</f>
        <v>0</v>
      </c>
      <c r="C55">
        <f>[4]Summary!C12</f>
        <v>0</v>
      </c>
      <c r="D55">
        <f>[4]Summary!D12</f>
        <v>0</v>
      </c>
      <c r="E55">
        <f>[4]Summary!E12</f>
        <v>0</v>
      </c>
      <c r="F55">
        <f>[4]Summary!F12</f>
        <v>0</v>
      </c>
      <c r="G55">
        <f>[4]Summary!G12</f>
        <v>0</v>
      </c>
      <c r="H55">
        <f>[4]Summary!H12</f>
        <v>0</v>
      </c>
      <c r="I55">
        <f>[4]Summary!I12</f>
        <v>0</v>
      </c>
      <c r="J55">
        <f>[4]Summary!J12</f>
        <v>0</v>
      </c>
      <c r="K55">
        <f>[4]Summary!K12</f>
        <v>0</v>
      </c>
    </row>
    <row r="56" spans="1:11" x14ac:dyDescent="0.3">
      <c r="B56">
        <f>[4]Summary!B13</f>
        <v>0</v>
      </c>
      <c r="C56">
        <f>[4]Summary!C13</f>
        <v>0</v>
      </c>
      <c r="D56">
        <f>[4]Summary!D13</f>
        <v>0</v>
      </c>
      <c r="E56">
        <f>[4]Summary!E13</f>
        <v>0</v>
      </c>
      <c r="F56">
        <f>[4]Summary!F13</f>
        <v>0</v>
      </c>
      <c r="G56">
        <f>[4]Summary!G13</f>
        <v>0</v>
      </c>
      <c r="H56">
        <f>[4]Summary!H13</f>
        <v>0</v>
      </c>
      <c r="I56">
        <f>[4]Summary!I13</f>
        <v>0</v>
      </c>
      <c r="J56">
        <f>[4]Summary!J13</f>
        <v>0</v>
      </c>
      <c r="K56">
        <f>[4]Summary!K13</f>
        <v>0</v>
      </c>
    </row>
    <row r="59" spans="1:11" x14ac:dyDescent="0.3">
      <c r="A59" t="s">
        <v>3</v>
      </c>
      <c r="B59">
        <f>[5]Summary!B5</f>
        <v>0</v>
      </c>
      <c r="C59" t="str">
        <f>[5]Summary!C5</f>
        <v>Current Price</v>
      </c>
      <c r="D59" t="str">
        <f>[5]Summary!D5</f>
        <v>10MA</v>
      </c>
      <c r="E59" t="str">
        <f>[5]Summary!E5</f>
        <v>50MA</v>
      </c>
      <c r="F59" t="str">
        <f>[5]Summary!F5</f>
        <v>100MA</v>
      </c>
      <c r="G59" t="str">
        <f>[5]Summary!G5</f>
        <v>200MA</v>
      </c>
      <c r="H59" t="str">
        <f>[5]Summary!H5</f>
        <v>10MA Trend</v>
      </c>
      <c r="I59" t="str">
        <f>[5]Summary!I5</f>
        <v>50MA Trend</v>
      </c>
      <c r="J59" t="str">
        <f>[5]Summary!J5</f>
        <v>100MA Trend</v>
      </c>
      <c r="K59" t="str">
        <f>[5]Summary!K5</f>
        <v>200MA Trend</v>
      </c>
    </row>
    <row r="60" spans="1:11" x14ac:dyDescent="0.3">
      <c r="B60" t="str">
        <f>[5]Summary!B6</f>
        <v>GRASIM</v>
      </c>
      <c r="C60">
        <f>[5]Summary!C6</f>
        <v>2734.8</v>
      </c>
      <c r="D60">
        <f>[5]Summary!D6</f>
        <v>2704.7</v>
      </c>
      <c r="E60">
        <f>[5]Summary!E6</f>
        <v>2516.9159999999993</v>
      </c>
      <c r="F60">
        <f>[5]Summary!F6</f>
        <v>2512.2734999999989</v>
      </c>
      <c r="G60">
        <f>[5]Summary!G6</f>
        <v>2601.6097499999992</v>
      </c>
      <c r="H60">
        <f>[5]Summary!H6</f>
        <v>14.475000000000364</v>
      </c>
      <c r="I60">
        <f>[5]Summary!I6</f>
        <v>4.7160000000003492</v>
      </c>
      <c r="J60">
        <f>[5]Summary!J6</f>
        <v>1.643500000000131</v>
      </c>
      <c r="K60">
        <f>[5]Summary!K6</f>
        <v>-2.4999999959618435E-4</v>
      </c>
    </row>
    <row r="61" spans="1:11" x14ac:dyDescent="0.3">
      <c r="B61" t="str">
        <f>[5]Summary!B7</f>
        <v>HINDALCO</v>
      </c>
      <c r="C61">
        <f>[5]Summary!C7</f>
        <v>622.1</v>
      </c>
      <c r="D61">
        <f>[5]Summary!D7</f>
        <v>612.29500000000007</v>
      </c>
      <c r="E61">
        <f>[5]Summary!E7</f>
        <v>642.14599999999996</v>
      </c>
      <c r="F61">
        <f>[5]Summary!F7</f>
        <v>629.15099999999984</v>
      </c>
      <c r="G61">
        <f>[5]Summary!G7</f>
        <v>656.03450000000021</v>
      </c>
      <c r="H61">
        <f>[5]Summary!H7</f>
        <v>5.375</v>
      </c>
      <c r="I61">
        <f>[5]Summary!I7</f>
        <v>0.53299999999990177</v>
      </c>
      <c r="J61">
        <f>[5]Summary!J7</f>
        <v>-0.28150000000005093</v>
      </c>
      <c r="K61">
        <f>[5]Summary!K7</f>
        <v>-0.34875000000010914</v>
      </c>
    </row>
    <row r="62" spans="1:11" x14ac:dyDescent="0.3">
      <c r="B62" t="str">
        <f>[5]Summary!B8</f>
        <v>JINDALSTEL</v>
      </c>
      <c r="C62">
        <f>[5]Summary!C8</f>
        <v>891.8</v>
      </c>
      <c r="D62">
        <f>[5]Summary!D8</f>
        <v>871.36500000000001</v>
      </c>
      <c r="E62">
        <f>[5]Summary!E8</f>
        <v>876.46</v>
      </c>
      <c r="F62">
        <f>[5]Summary!F8</f>
        <v>893.96050000000037</v>
      </c>
      <c r="G62">
        <f>[5]Summary!G8</f>
        <v>927.27600000000029</v>
      </c>
      <c r="H62">
        <f>[5]Summary!H8</f>
        <v>8.9950000000001182</v>
      </c>
      <c r="I62">
        <f>[5]Summary!I8</f>
        <v>1.6490000000001146</v>
      </c>
      <c r="J62">
        <f>[5]Summary!J8</f>
        <v>-5.1999999999793545E-2</v>
      </c>
      <c r="K62">
        <f>[5]Summary!K8</f>
        <v>-0.81825000000003456</v>
      </c>
    </row>
    <row r="63" spans="1:11" x14ac:dyDescent="0.3">
      <c r="B63" t="str">
        <f>[5]Summary!B9</f>
        <v>JSWSTEEL</v>
      </c>
      <c r="C63">
        <f>[5]Summary!C9</f>
        <v>1028.4000000000001</v>
      </c>
      <c r="D63">
        <f>[5]Summary!D9</f>
        <v>1015.0699999999999</v>
      </c>
      <c r="E63">
        <f>[5]Summary!E9</f>
        <v>1004.2820000000003</v>
      </c>
      <c r="F63">
        <f>[5]Summary!F9</f>
        <v>971.87500000000045</v>
      </c>
      <c r="G63">
        <f>[5]Summary!G9</f>
        <v>961.30550000000005</v>
      </c>
      <c r="H63">
        <f>[5]Summary!H9</f>
        <v>7.3799999999999955</v>
      </c>
      <c r="I63">
        <f>[5]Summary!I9</f>
        <v>1.5999999999999091</v>
      </c>
      <c r="J63">
        <f>[5]Summary!J9</f>
        <v>0.74250000000006366</v>
      </c>
      <c r="K63">
        <f>[5]Summary!K9</f>
        <v>0.42025000000001</v>
      </c>
    </row>
    <row r="64" spans="1:11" x14ac:dyDescent="0.3">
      <c r="B64" t="str">
        <f>[5]Summary!B10</f>
        <v>SAIL</v>
      </c>
      <c r="C64">
        <f>[5]Summary!C10</f>
        <v>114.81</v>
      </c>
      <c r="D64">
        <f>[5]Summary!D10</f>
        <v>113.739</v>
      </c>
      <c r="E64">
        <f>[5]Summary!E10</f>
        <v>110.46639999999999</v>
      </c>
      <c r="F64">
        <f>[5]Summary!F10</f>
        <v>111.97110000000002</v>
      </c>
      <c r="G64">
        <f>[5]Summary!G10</f>
        <v>121.72630000000002</v>
      </c>
      <c r="H64">
        <f>[5]Summary!H10</f>
        <v>0.99799999999999045</v>
      </c>
      <c r="I64">
        <f>[5]Summary!I10</f>
        <v>0.1366000000000156</v>
      </c>
      <c r="J64">
        <f>[5]Summary!J10</f>
        <v>-1.4699999999990609E-2</v>
      </c>
      <c r="K64">
        <f>[5]Summary!K10</f>
        <v>-0.18119999999998981</v>
      </c>
    </row>
    <row r="65" spans="1:11" x14ac:dyDescent="0.3">
      <c r="B65" t="str">
        <f>[5]Summary!B11</f>
        <v>TATASTEEL</v>
      </c>
      <c r="C65">
        <f>[5]Summary!C11</f>
        <v>138.85</v>
      </c>
      <c r="D65">
        <f>[5]Summary!D11</f>
        <v>136.999</v>
      </c>
      <c r="E65">
        <f>[5]Summary!E11</f>
        <v>143.2406</v>
      </c>
      <c r="F65">
        <f>[5]Summary!F11</f>
        <v>140.19810000000004</v>
      </c>
      <c r="G65">
        <f>[5]Summary!G11</f>
        <v>147.44385000000005</v>
      </c>
      <c r="H65">
        <f>[5]Summary!H11</f>
        <v>0.85699999999999932</v>
      </c>
      <c r="I65">
        <f>[5]Summary!I11</f>
        <v>0.12620000000001141</v>
      </c>
      <c r="J65">
        <f>[5]Summary!J11</f>
        <v>-4.5400000000000773E-2</v>
      </c>
      <c r="K65">
        <f>[5]Summary!K11</f>
        <v>-0.18720000000001846</v>
      </c>
    </row>
    <row r="66" spans="1:11" x14ac:dyDescent="0.3">
      <c r="B66">
        <f>[5]Summary!B12</f>
        <v>0</v>
      </c>
      <c r="C66">
        <f>[5]Summary!C12</f>
        <v>0</v>
      </c>
      <c r="D66">
        <f>[5]Summary!D12</f>
        <v>0</v>
      </c>
      <c r="E66">
        <f>[5]Summary!E12</f>
        <v>0</v>
      </c>
      <c r="F66">
        <f>[5]Summary!F12</f>
        <v>0</v>
      </c>
      <c r="G66">
        <f>[5]Summary!G12</f>
        <v>0</v>
      </c>
      <c r="H66">
        <f>[5]Summary!H12</f>
        <v>0</v>
      </c>
      <c r="I66">
        <f>[5]Summary!I12</f>
        <v>0</v>
      </c>
      <c r="J66">
        <f>[5]Summary!J12</f>
        <v>0</v>
      </c>
      <c r="K66">
        <f>[5]Summary!K12</f>
        <v>0</v>
      </c>
    </row>
    <row r="67" spans="1:11" x14ac:dyDescent="0.3">
      <c r="B67">
        <f>[5]Summary!B13</f>
        <v>0</v>
      </c>
      <c r="C67">
        <f>[5]Summary!C13</f>
        <v>0</v>
      </c>
      <c r="D67">
        <f>[5]Summary!D13</f>
        <v>0</v>
      </c>
      <c r="E67">
        <f>[5]Summary!E13</f>
        <v>0</v>
      </c>
      <c r="F67">
        <f>[5]Summary!F13</f>
        <v>0</v>
      </c>
      <c r="G67">
        <f>[5]Summary!G13</f>
        <v>0</v>
      </c>
      <c r="H67">
        <f>[5]Summary!H13</f>
        <v>0</v>
      </c>
      <c r="I67">
        <f>[5]Summary!I13</f>
        <v>0</v>
      </c>
      <c r="J67">
        <f>[5]Summary!J13</f>
        <v>0</v>
      </c>
      <c r="K67">
        <f>[5]Summary!K13</f>
        <v>0</v>
      </c>
    </row>
    <row r="69" spans="1:11" x14ac:dyDescent="0.3">
      <c r="A69" t="s">
        <v>4</v>
      </c>
      <c r="B69">
        <f>[1]Summary!B5</f>
        <v>0</v>
      </c>
      <c r="C69" t="str">
        <f>[1]Summary!C5</f>
        <v>Current Price</v>
      </c>
      <c r="D69" t="str">
        <f>[1]Summary!D5</f>
        <v>10MA</v>
      </c>
      <c r="E69" t="str">
        <f>[1]Summary!E5</f>
        <v>50MA</v>
      </c>
      <c r="F69" t="str">
        <f>[1]Summary!F5</f>
        <v>100MA</v>
      </c>
      <c r="G69" t="str">
        <f>[1]Summary!G5</f>
        <v>200MA</v>
      </c>
      <c r="H69" t="str">
        <f>[1]Summary!H5</f>
        <v>10MA Trend</v>
      </c>
      <c r="I69" t="str">
        <f>[1]Summary!I5</f>
        <v>50MA Trend</v>
      </c>
      <c r="J69" t="str">
        <f>[1]Summary!J5</f>
        <v>100MA Trend</v>
      </c>
      <c r="K69" t="str">
        <f>[1]Summary!K5</f>
        <v>200MA Trend</v>
      </c>
    </row>
    <row r="70" spans="1:11" x14ac:dyDescent="0.3">
      <c r="B70" t="str">
        <f>[1]Summary!B6</f>
        <v>GLENMARK</v>
      </c>
      <c r="C70">
        <f>[1]Summary!C6</f>
        <v>1360.7</v>
      </c>
      <c r="D70">
        <f>[1]Summary!D6</f>
        <v>1378.4199999999998</v>
      </c>
      <c r="E70">
        <f>[1]Summary!E6</f>
        <v>1414.3469999999998</v>
      </c>
      <c r="F70">
        <f>[1]Summary!F6</f>
        <v>1469.5114999999996</v>
      </c>
      <c r="G70">
        <f>[1]Summary!G6</f>
        <v>1535.7547500000003</v>
      </c>
      <c r="H70">
        <f>[1]Summary!H6</f>
        <v>-8.0099999999999909</v>
      </c>
      <c r="I70">
        <f>[1]Summary!I6</f>
        <v>-2.7830000000003565</v>
      </c>
      <c r="J70">
        <f>[1]Summary!J6</f>
        <v>-1.3445000000001528</v>
      </c>
      <c r="K70">
        <f>[1]Summary!K6</f>
        <v>0.32600000000002183</v>
      </c>
    </row>
    <row r="71" spans="1:11" x14ac:dyDescent="0.3">
      <c r="B71" t="str">
        <f>[1]Summary!B7</f>
        <v>SUNPHARMA</v>
      </c>
      <c r="C71">
        <f>[1]Summary!C7</f>
        <v>1787.4</v>
      </c>
      <c r="D71">
        <f>[1]Summary!D7</f>
        <v>1736.175</v>
      </c>
      <c r="E71">
        <f>[1]Summary!E7</f>
        <v>1698.1550000000007</v>
      </c>
      <c r="F71">
        <f>[1]Summary!F7</f>
        <v>1749.4475000000007</v>
      </c>
      <c r="G71">
        <f>[1]Summary!G7</f>
        <v>1768.4240000000004</v>
      </c>
      <c r="H71">
        <f>[1]Summary!H7</f>
        <v>9.9049999999999727</v>
      </c>
      <c r="I71">
        <f>[1]Summary!I7</f>
        <v>0.90799999999990177</v>
      </c>
      <c r="J71">
        <f>[1]Summary!J7</f>
        <v>0.53150000000005093</v>
      </c>
      <c r="K71">
        <f>[1]Summary!K7</f>
        <v>1.147499999999809</v>
      </c>
    </row>
    <row r="72" spans="1:11" x14ac:dyDescent="0.3">
      <c r="B72" t="str">
        <f>[1]Summary!B8</f>
        <v>TORNTPHARM</v>
      </c>
      <c r="C72">
        <f>[1]Summary!C8</f>
        <v>3238.9</v>
      </c>
      <c r="D72">
        <f>[1]Summary!D8</f>
        <v>3235.2499999999995</v>
      </c>
      <c r="E72">
        <f>[1]Summary!E8</f>
        <v>3143.1110000000003</v>
      </c>
      <c r="F72">
        <f>[1]Summary!F8</f>
        <v>3227.6804999999999</v>
      </c>
      <c r="G72">
        <f>[1]Summary!G8</f>
        <v>3256.2157500000003</v>
      </c>
      <c r="H72">
        <f>[1]Summary!H8</f>
        <v>-0.76999999999998181</v>
      </c>
      <c r="I72">
        <f>[1]Summary!I8</f>
        <v>1.5529999999998836</v>
      </c>
      <c r="J72">
        <f>[1]Summary!J8</f>
        <v>0.35949999999957072</v>
      </c>
      <c r="K72">
        <f>[1]Summary!K8</f>
        <v>1.8429999999993925</v>
      </c>
    </row>
    <row r="73" spans="1:11" x14ac:dyDescent="0.3">
      <c r="B73" t="str">
        <f>[1]Summary!B9</f>
        <v>ZYDUSLIFE</v>
      </c>
      <c r="C73">
        <f>[1]Summary!C9</f>
        <v>859.65</v>
      </c>
      <c r="D73">
        <f>[1]Summary!D9</f>
        <v>855.60000000000014</v>
      </c>
      <c r="E73">
        <f>[1]Summary!E9</f>
        <v>891.61100000000022</v>
      </c>
      <c r="F73">
        <f>[1]Summary!F9</f>
        <v>933.72850000000017</v>
      </c>
      <c r="G73">
        <f>[1]Summary!G9</f>
        <v>1014.17625</v>
      </c>
      <c r="H73">
        <f>[1]Summary!H9</f>
        <v>5.5000000000291038E-2</v>
      </c>
      <c r="I73">
        <f>[1]Summary!I9</f>
        <v>-2.9709999999997763</v>
      </c>
      <c r="J73">
        <f>[1]Summary!J9</f>
        <v>-0.89049999999997453</v>
      </c>
      <c r="K73">
        <f>[1]Summary!K9</f>
        <v>-1.3869999999999436</v>
      </c>
    </row>
    <row r="74" spans="1:11" x14ac:dyDescent="0.3">
      <c r="B74">
        <f>[1]Summary!B10</f>
        <v>0</v>
      </c>
      <c r="C74">
        <f>[1]Summary!C10</f>
        <v>0</v>
      </c>
      <c r="D74">
        <f>[1]Summary!D10</f>
        <v>0</v>
      </c>
      <c r="E74">
        <f>[1]Summary!E10</f>
        <v>0</v>
      </c>
      <c r="F74">
        <f>[1]Summary!F10</f>
        <v>0</v>
      </c>
      <c r="G74">
        <f>[1]Summary!G10</f>
        <v>0</v>
      </c>
      <c r="H74">
        <f>[1]Summary!H10</f>
        <v>0</v>
      </c>
      <c r="I74">
        <f>[1]Summary!I10</f>
        <v>0</v>
      </c>
      <c r="J74">
        <f>[1]Summary!J10</f>
        <v>0</v>
      </c>
      <c r="K74">
        <f>[1]Summary!K10</f>
        <v>0</v>
      </c>
    </row>
    <row r="75" spans="1:11" x14ac:dyDescent="0.3">
      <c r="B75">
        <f>[1]Summary!B11</f>
        <v>0</v>
      </c>
      <c r="C75">
        <f>[1]Summary!C11</f>
        <v>0</v>
      </c>
      <c r="D75">
        <f>[1]Summary!D11</f>
        <v>0</v>
      </c>
      <c r="E75">
        <f>[1]Summary!E11</f>
        <v>0</v>
      </c>
      <c r="F75">
        <f>[1]Summary!F11</f>
        <v>0</v>
      </c>
      <c r="G75">
        <f>[1]Summary!G11</f>
        <v>0</v>
      </c>
      <c r="H75">
        <f>[1]Summary!H11</f>
        <v>0</v>
      </c>
      <c r="I75">
        <f>[1]Summary!I11</f>
        <v>0</v>
      </c>
      <c r="J75">
        <f>[1]Summary!J11</f>
        <v>0</v>
      </c>
      <c r="K75">
        <f>[1]Summary!K11</f>
        <v>0</v>
      </c>
    </row>
    <row r="76" spans="1:11" x14ac:dyDescent="0.3">
      <c r="B76">
        <f>[1]Summary!B12</f>
        <v>0</v>
      </c>
      <c r="C76">
        <f>[1]Summary!C12</f>
        <v>0</v>
      </c>
      <c r="D76">
        <f>[1]Summary!D12</f>
        <v>0</v>
      </c>
      <c r="E76">
        <f>[1]Summary!E12</f>
        <v>0</v>
      </c>
      <c r="F76">
        <f>[1]Summary!F12</f>
        <v>0</v>
      </c>
      <c r="G76">
        <f>[1]Summary!G12</f>
        <v>0</v>
      </c>
      <c r="H76">
        <f>[1]Summary!H12</f>
        <v>0</v>
      </c>
      <c r="I76">
        <f>[1]Summary!I12</f>
        <v>0</v>
      </c>
      <c r="J76">
        <f>[1]Summary!J12</f>
        <v>0</v>
      </c>
      <c r="K76">
        <f>[1]Summary!K12</f>
        <v>0</v>
      </c>
    </row>
    <row r="77" spans="1:11" x14ac:dyDescent="0.3">
      <c r="B77">
        <f>[1]Summary!B13</f>
        <v>0</v>
      </c>
      <c r="C77">
        <f>[1]Summary!C13</f>
        <v>0</v>
      </c>
      <c r="D77">
        <f>[1]Summary!D13</f>
        <v>0</v>
      </c>
      <c r="E77">
        <f>[1]Summary!E13</f>
        <v>0</v>
      </c>
      <c r="F77">
        <f>[1]Summary!F13</f>
        <v>0</v>
      </c>
      <c r="G77">
        <f>[1]Summary!G13</f>
        <v>0</v>
      </c>
      <c r="H77">
        <f>[1]Summary!H13</f>
        <v>0</v>
      </c>
      <c r="I77">
        <f>[1]Summary!I13</f>
        <v>0</v>
      </c>
      <c r="J77">
        <f>[1]Summary!J13</f>
        <v>0</v>
      </c>
      <c r="K77">
        <f>[1]Summary!K13</f>
        <v>0</v>
      </c>
    </row>
    <row r="78" spans="1:11" x14ac:dyDescent="0.3">
      <c r="B78">
        <f>[1]Summary!B14</f>
        <v>0</v>
      </c>
      <c r="C78">
        <f>[1]Summary!C14</f>
        <v>0</v>
      </c>
      <c r="D78">
        <f>[1]Summary!D14</f>
        <v>0</v>
      </c>
      <c r="E78">
        <f>[1]Summary!E14</f>
        <v>0</v>
      </c>
      <c r="F78">
        <f>[1]Summary!F14</f>
        <v>0</v>
      </c>
      <c r="G78">
        <f>[1]Summary!G14</f>
        <v>0</v>
      </c>
      <c r="H78">
        <f>[1]Summary!H14</f>
        <v>0</v>
      </c>
      <c r="I78">
        <f>[1]Summary!I14</f>
        <v>0</v>
      </c>
      <c r="J78">
        <f>[1]Summary!J14</f>
        <v>0</v>
      </c>
      <c r="K78">
        <f>[1]Summary!K14</f>
        <v>0</v>
      </c>
    </row>
    <row r="80" spans="1:11" x14ac:dyDescent="0.3">
      <c r="A80" t="s">
        <v>5</v>
      </c>
      <c r="B80">
        <f>[6]Summary!B5</f>
        <v>0</v>
      </c>
      <c r="C80" t="str">
        <f>[6]Summary!C5</f>
        <v>Current Price</v>
      </c>
      <c r="D80" t="str">
        <f>[6]Summary!D5</f>
        <v>10MA</v>
      </c>
      <c r="E80" t="str">
        <f>[6]Summary!E5</f>
        <v>50MA</v>
      </c>
      <c r="F80" t="str">
        <f>[6]Summary!F5</f>
        <v>100MA</v>
      </c>
      <c r="G80" t="str">
        <f>[6]Summary!G5</f>
        <v>200MA</v>
      </c>
      <c r="H80" t="str">
        <f>[6]Summary!H5</f>
        <v>10MA Trend</v>
      </c>
      <c r="I80" t="str">
        <f>[6]Summary!I5</f>
        <v>50MA Trend</v>
      </c>
      <c r="J80" t="str">
        <f>[6]Summary!J5</f>
        <v>100MA Trend</v>
      </c>
      <c r="K80" t="str">
        <f>[6]Summary!K5</f>
        <v>200MA Trend</v>
      </c>
    </row>
    <row r="81" spans="1:11" x14ac:dyDescent="0.3">
      <c r="B81" t="str">
        <f>[6]Summary!B6</f>
        <v>COALINDIA</v>
      </c>
      <c r="C81">
        <f>[6]Summary!C6</f>
        <v>393.15</v>
      </c>
      <c r="D81">
        <f>[6]Summary!D6</f>
        <v>395.11</v>
      </c>
      <c r="E81">
        <f>[6]Summary!E6</f>
        <v>381.77899999999994</v>
      </c>
      <c r="F81">
        <f>[6]Summary!F6</f>
        <v>385.93050000000005</v>
      </c>
      <c r="G81">
        <f>[6]Summary!G6</f>
        <v>436.10675000000015</v>
      </c>
      <c r="H81">
        <f>[6]Summary!H6</f>
        <v>1.0300000000000296</v>
      </c>
      <c r="I81">
        <f>[6]Summary!I6</f>
        <v>0.27099999999995816</v>
      </c>
      <c r="J81">
        <f>[6]Summary!J6</f>
        <v>-0.22049999999995862</v>
      </c>
      <c r="K81">
        <f>[6]Summary!K6</f>
        <v>-0.48200000000008458</v>
      </c>
    </row>
    <row r="82" spans="1:11" x14ac:dyDescent="0.3">
      <c r="B82" t="str">
        <f>[6]Summary!B7</f>
        <v>ONGC</v>
      </c>
      <c r="C82">
        <f>[6]Summary!C7</f>
        <v>246.33</v>
      </c>
      <c r="D82">
        <f>[6]Summary!D7</f>
        <v>241.51400000000004</v>
      </c>
      <c r="E82">
        <f>[6]Summary!E7</f>
        <v>236.19240000000002</v>
      </c>
      <c r="F82">
        <f>[6]Summary!F7</f>
        <v>245.28850000000003</v>
      </c>
      <c r="G82">
        <f>[6]Summary!G7</f>
        <v>270.96699999999998</v>
      </c>
      <c r="H82">
        <f>[6]Summary!H7</f>
        <v>1.9670000000000698</v>
      </c>
      <c r="I82">
        <f>[6]Summary!I7</f>
        <v>-0.19639999999995439</v>
      </c>
      <c r="J82">
        <f>[6]Summary!J7</f>
        <v>-5.869999999998754E-2</v>
      </c>
      <c r="K82">
        <f>[6]Summary!K7</f>
        <v>-0.15359999999998308</v>
      </c>
    </row>
    <row r="83" spans="1:11" x14ac:dyDescent="0.3">
      <c r="B83" t="str">
        <f>[6]Summary!B8</f>
        <v>POWERGRID</v>
      </c>
      <c r="C83">
        <f>[6]Summary!C8</f>
        <v>306.5</v>
      </c>
      <c r="D83">
        <f>[6]Summary!D8</f>
        <v>308.52</v>
      </c>
      <c r="E83">
        <f>[6]Summary!E8</f>
        <v>279.39699999999999</v>
      </c>
      <c r="F83">
        <f>[6]Summary!F8</f>
        <v>293.90599999999995</v>
      </c>
      <c r="G83">
        <f>[6]Summary!G8</f>
        <v>314.46175000000011</v>
      </c>
      <c r="H83">
        <f>[6]Summary!H8</f>
        <v>1.7549999999999955</v>
      </c>
      <c r="I83">
        <f>[6]Summary!I8</f>
        <v>0.507000000000005</v>
      </c>
      <c r="J83">
        <f>[6]Summary!J8</f>
        <v>-0.27150000000006003</v>
      </c>
      <c r="K83">
        <f>[6]Summary!K8</f>
        <v>-0.14249999999998408</v>
      </c>
    </row>
    <row r="84" spans="1:11" x14ac:dyDescent="0.3">
      <c r="B84" t="str">
        <f>[6]Summary!B9</f>
        <v>RELIANCE</v>
      </c>
      <c r="C84">
        <f>[6]Summary!C9</f>
        <v>1300.4000000000001</v>
      </c>
      <c r="D84">
        <f>[6]Summary!D9</f>
        <v>1264.69</v>
      </c>
      <c r="E84">
        <f>[6]Summary!E9</f>
        <v>1239.2940000000003</v>
      </c>
      <c r="F84">
        <f>[6]Summary!F9</f>
        <v>1249.1110000000001</v>
      </c>
      <c r="G84">
        <f>[6]Summary!G9</f>
        <v>1341.0780000000002</v>
      </c>
      <c r="H84">
        <f>[6]Summary!H9</f>
        <v>11.819999999999709</v>
      </c>
      <c r="I84">
        <f>[6]Summary!I9</f>
        <v>0.37699999999995271</v>
      </c>
      <c r="J84">
        <f>[6]Summary!J9</f>
        <v>0.29599999999982174</v>
      </c>
      <c r="K84">
        <f>[6]Summary!K9</f>
        <v>-1.2680000000002565</v>
      </c>
    </row>
    <row r="85" spans="1:11" x14ac:dyDescent="0.3">
      <c r="B85" t="str">
        <f>[6]Summary!B10</f>
        <v>TATAPOWER</v>
      </c>
      <c r="C85">
        <f>[6]Summary!C10</f>
        <v>387.6</v>
      </c>
      <c r="D85">
        <f>[6]Summary!D10</f>
        <v>382.15</v>
      </c>
      <c r="E85">
        <f>[6]Summary!E10</f>
        <v>363.33800000000002</v>
      </c>
      <c r="F85">
        <f>[6]Summary!F10</f>
        <v>376.07300000000009</v>
      </c>
      <c r="G85">
        <f>[6]Summary!G10</f>
        <v>406.06299999999993</v>
      </c>
      <c r="H85">
        <f>[6]Summary!H10</f>
        <v>2.7900000000000205</v>
      </c>
      <c r="I85">
        <f>[6]Summary!I10</f>
        <v>0.44499999999999318</v>
      </c>
      <c r="J85">
        <f>[6]Summary!J10</f>
        <v>-0.26900000000011914</v>
      </c>
      <c r="K85">
        <f>[6]Summary!K10</f>
        <v>-0.24325000000015962</v>
      </c>
    </row>
    <row r="86" spans="1:11" x14ac:dyDescent="0.3">
      <c r="B86">
        <f>[6]Summary!B11</f>
        <v>0</v>
      </c>
      <c r="C86">
        <f>[6]Summary!C11</f>
        <v>0</v>
      </c>
      <c r="D86">
        <f>[6]Summary!D11</f>
        <v>0</v>
      </c>
      <c r="E86">
        <f>[6]Summary!E11</f>
        <v>0</v>
      </c>
      <c r="F86">
        <f>[6]Summary!F11</f>
        <v>0</v>
      </c>
      <c r="G86">
        <f>[6]Summary!G11</f>
        <v>0</v>
      </c>
      <c r="H86">
        <f>[6]Summary!H11</f>
        <v>0</v>
      </c>
      <c r="I86">
        <f>[6]Summary!I11</f>
        <v>0</v>
      </c>
      <c r="J86">
        <f>[6]Summary!J11</f>
        <v>0</v>
      </c>
      <c r="K86">
        <f>[6]Summary!K11</f>
        <v>0</v>
      </c>
    </row>
    <row r="87" spans="1:11" x14ac:dyDescent="0.3">
      <c r="B87">
        <f>[6]Summary!B12</f>
        <v>0</v>
      </c>
      <c r="C87">
        <f>[6]Summary!C12</f>
        <v>0</v>
      </c>
      <c r="D87">
        <f>[6]Summary!D12</f>
        <v>0</v>
      </c>
      <c r="E87">
        <f>[6]Summary!E12</f>
        <v>0</v>
      </c>
      <c r="F87">
        <f>[6]Summary!F12</f>
        <v>0</v>
      </c>
      <c r="G87">
        <f>[6]Summary!G12</f>
        <v>0</v>
      </c>
      <c r="H87">
        <f>[6]Summary!H12</f>
        <v>0</v>
      </c>
      <c r="I87">
        <f>[6]Summary!I12</f>
        <v>0</v>
      </c>
      <c r="J87">
        <f>[6]Summary!J12</f>
        <v>0</v>
      </c>
      <c r="K87">
        <f>[6]Summary!K12</f>
        <v>0</v>
      </c>
    </row>
    <row r="88" spans="1:11" x14ac:dyDescent="0.3">
      <c r="B88">
        <f>[6]Summary!B13</f>
        <v>0</v>
      </c>
      <c r="C88">
        <f>[6]Summary!C13</f>
        <v>0</v>
      </c>
      <c r="D88">
        <f>[6]Summary!D13</f>
        <v>0</v>
      </c>
      <c r="E88">
        <f>[6]Summary!E13</f>
        <v>0</v>
      </c>
      <c r="F88">
        <f>[6]Summary!F13</f>
        <v>0</v>
      </c>
      <c r="G88">
        <f>[6]Summary!G13</f>
        <v>0</v>
      </c>
      <c r="H88">
        <f>[6]Summary!H13</f>
        <v>0</v>
      </c>
      <c r="I88">
        <f>[6]Summary!I13</f>
        <v>0</v>
      </c>
      <c r="J88">
        <f>[6]Summary!J13</f>
        <v>0</v>
      </c>
      <c r="K88">
        <f>[6]Summary!K13</f>
        <v>0</v>
      </c>
    </row>
    <row r="89" spans="1:11" x14ac:dyDescent="0.3">
      <c r="B89">
        <f>[6]Summary!B14</f>
        <v>0</v>
      </c>
      <c r="C89">
        <f>[6]Summary!C14</f>
        <v>0</v>
      </c>
      <c r="D89">
        <f>[6]Summary!D14</f>
        <v>0</v>
      </c>
      <c r="E89">
        <f>[6]Summary!E14</f>
        <v>0</v>
      </c>
      <c r="F89">
        <f>[6]Summary!F14</f>
        <v>0</v>
      </c>
      <c r="G89">
        <f>[6]Summary!G14</f>
        <v>0</v>
      </c>
      <c r="H89">
        <f>[6]Summary!H14</f>
        <v>0</v>
      </c>
      <c r="I89">
        <f>[6]Summary!I14</f>
        <v>0</v>
      </c>
      <c r="J89">
        <f>[6]Summary!J14</f>
        <v>0</v>
      </c>
      <c r="K89">
        <f>[6]Summary!K14</f>
        <v>0</v>
      </c>
    </row>
    <row r="90" spans="1:11" x14ac:dyDescent="0.3">
      <c r="B90">
        <f>[6]Summary!B15</f>
        <v>0</v>
      </c>
      <c r="C90">
        <f>[6]Summary!C15</f>
        <v>0</v>
      </c>
      <c r="D90">
        <f>[6]Summary!D15</f>
        <v>0</v>
      </c>
      <c r="E90">
        <f>[6]Summary!E15</f>
        <v>0</v>
      </c>
      <c r="F90">
        <f>[6]Summary!F15</f>
        <v>0</v>
      </c>
      <c r="G90">
        <f>[6]Summary!G15</f>
        <v>0</v>
      </c>
      <c r="H90">
        <f>[6]Summary!H15</f>
        <v>0</v>
      </c>
      <c r="I90">
        <f>[6]Summary!I15</f>
        <v>0</v>
      </c>
      <c r="J90">
        <f>[6]Summary!J15</f>
        <v>0</v>
      </c>
      <c r="K90">
        <f>[6]Summary!K15</f>
        <v>0</v>
      </c>
    </row>
    <row r="92" spans="1:11" x14ac:dyDescent="0.3">
      <c r="A92" t="s">
        <v>6</v>
      </c>
      <c r="B92">
        <f>[7]Summary!B5</f>
        <v>0</v>
      </c>
      <c r="C92" t="str">
        <f>[7]Summary!C5</f>
        <v>Current Price</v>
      </c>
      <c r="D92" t="str">
        <f>[7]Summary!D5</f>
        <v>10MA</v>
      </c>
      <c r="E92" t="str">
        <f>[7]Summary!E5</f>
        <v>50MA</v>
      </c>
      <c r="F92" t="str">
        <f>[7]Summary!F5</f>
        <v>100MA</v>
      </c>
      <c r="G92" t="str">
        <f>[7]Summary!G5</f>
        <v>200MA</v>
      </c>
      <c r="H92" t="str">
        <f>[7]Summary!H5</f>
        <v>10MA Trend</v>
      </c>
      <c r="I92" t="str">
        <f>[7]Summary!I5</f>
        <v>50MA Trend</v>
      </c>
      <c r="J92" t="str">
        <f>[7]Summary!J5</f>
        <v>100MA Trend</v>
      </c>
      <c r="K92" t="str">
        <f>[7]Summary!K5</f>
        <v>200MA Trend</v>
      </c>
    </row>
    <row r="93" spans="1:11" x14ac:dyDescent="0.3">
      <c r="B93" t="str">
        <f>[7]Summary!B6</f>
        <v>BALKRISIND</v>
      </c>
      <c r="C93">
        <f>[7]Summary!C6</f>
        <v>2518.1999999999998</v>
      </c>
      <c r="D93">
        <f>[7]Summary!D6</f>
        <v>2484.0499999999997</v>
      </c>
      <c r="E93">
        <f>[7]Summary!E6</f>
        <v>2560.8180000000002</v>
      </c>
      <c r="F93">
        <f>[7]Summary!F6</f>
        <v>2669.8185000000003</v>
      </c>
      <c r="G93">
        <f>[7]Summary!G6</f>
        <v>2825.4252500000002</v>
      </c>
      <c r="H93">
        <f>[7]Summary!H6</f>
        <v>19.809999999999945</v>
      </c>
      <c r="I93">
        <f>[7]Summary!I6</f>
        <v>-4.88799999999992</v>
      </c>
      <c r="J93">
        <f>[7]Summary!J6</f>
        <v>-1.9974999999999454</v>
      </c>
      <c r="K93">
        <f>[7]Summary!K6</f>
        <v>-3.148000000000593</v>
      </c>
    </row>
    <row r="94" spans="1:11" x14ac:dyDescent="0.3">
      <c r="B94" t="str">
        <f>[7]Summary!B7</f>
        <v>BALRAMCHIN</v>
      </c>
      <c r="C94">
        <f>[7]Summary!C7</f>
        <v>571.95000000000005</v>
      </c>
      <c r="D94">
        <f>[7]Summary!D7</f>
        <v>564.06999999999994</v>
      </c>
      <c r="E94">
        <f>[7]Summary!E7</f>
        <v>501.93699999999995</v>
      </c>
      <c r="F94">
        <f>[7]Summary!F7</f>
        <v>513.36149999999975</v>
      </c>
      <c r="G94">
        <f>[7]Summary!G7</f>
        <v>535.83349999999984</v>
      </c>
      <c r="H94">
        <f>[7]Summary!H7</f>
        <v>4.4950000000000045</v>
      </c>
      <c r="I94">
        <f>[7]Summary!I7</f>
        <v>1.9359999999999786</v>
      </c>
      <c r="J94">
        <f>[7]Summary!J7</f>
        <v>0.10850000000004911</v>
      </c>
      <c r="K94">
        <f>[7]Summary!K7</f>
        <v>0.72174999999992906</v>
      </c>
    </row>
    <row r="95" spans="1:11" x14ac:dyDescent="0.3">
      <c r="B95" t="str">
        <f>[7]Summary!B8</f>
        <v>MRF</v>
      </c>
      <c r="C95">
        <f>[7]Summary!C8</f>
        <v>128655</v>
      </c>
      <c r="D95">
        <f>[7]Summary!D8</f>
        <v>124553.76999999999</v>
      </c>
      <c r="E95">
        <f>[7]Summary!E8</f>
        <v>112599.69300000001</v>
      </c>
      <c r="F95">
        <f>[7]Summary!F8</f>
        <v>117438.92400000004</v>
      </c>
      <c r="G95">
        <f>[7]Summary!G8</f>
        <v>124652.50650000002</v>
      </c>
      <c r="H95">
        <f>[7]Summary!H8</f>
        <v>1606.2600000000093</v>
      </c>
      <c r="I95">
        <f>[7]Summary!I8</f>
        <v>290.52199999999721</v>
      </c>
      <c r="J95">
        <f>[7]Summary!J8</f>
        <v>49.926499999986845</v>
      </c>
      <c r="K95">
        <f>[7]Summary!K8</f>
        <v>0.68574999997508712</v>
      </c>
    </row>
    <row r="96" spans="1:11" x14ac:dyDescent="0.3">
      <c r="B96" t="str">
        <f>[7]Summary!B9</f>
        <v>TATACONSUM</v>
      </c>
      <c r="C96">
        <f>[7]Summary!C9</f>
        <v>1155.7</v>
      </c>
      <c r="D96">
        <f>[7]Summary!D9</f>
        <v>1124.1949999999999</v>
      </c>
      <c r="E96">
        <f>[7]Summary!E9</f>
        <v>1020.2480000000002</v>
      </c>
      <c r="F96">
        <f>[7]Summary!F9</f>
        <v>987.06199999999978</v>
      </c>
      <c r="G96">
        <f>[7]Summary!G9</f>
        <v>1055.9879999999989</v>
      </c>
      <c r="H96">
        <f>[7]Summary!H9</f>
        <v>8.5950000000000273</v>
      </c>
      <c r="I96">
        <f>[7]Summary!I9</f>
        <v>2.6470000000000482</v>
      </c>
      <c r="J96">
        <f>[7]Summary!J9</f>
        <v>2.1464999999999463</v>
      </c>
      <c r="K96">
        <f>[7]Summary!K9</f>
        <v>0.10249999999973625</v>
      </c>
    </row>
    <row r="97" spans="1:11" x14ac:dyDescent="0.3">
      <c r="B97" t="str">
        <f>[7]Summary!B10</f>
        <v>TITAN</v>
      </c>
      <c r="C97">
        <f>[7]Summary!C10</f>
        <v>3365.2</v>
      </c>
      <c r="D97">
        <f>[7]Summary!D10</f>
        <v>3306.0650000000001</v>
      </c>
      <c r="E97">
        <f>[7]Summary!E10</f>
        <v>3166.5930000000003</v>
      </c>
      <c r="F97">
        <f>[7]Summary!F10</f>
        <v>3283.0129999999995</v>
      </c>
      <c r="G97">
        <f>[7]Summary!G10</f>
        <v>3363.8352499999978</v>
      </c>
      <c r="H97">
        <f>[7]Summary!H10</f>
        <v>24.289999999999509</v>
      </c>
      <c r="I97">
        <f>[7]Summary!I10</f>
        <v>-0.91100000000005821</v>
      </c>
      <c r="J97">
        <f>[7]Summary!J10</f>
        <v>1.5285000000003492</v>
      </c>
      <c r="K97">
        <f>[7]Summary!K10</f>
        <v>0.14599999999973079</v>
      </c>
    </row>
    <row r="98" spans="1:11" x14ac:dyDescent="0.3">
      <c r="B98">
        <f>[7]Summary!B11</f>
        <v>0</v>
      </c>
      <c r="C98">
        <f>[7]Summary!C11</f>
        <v>0</v>
      </c>
      <c r="D98">
        <f>[7]Summary!D11</f>
        <v>0</v>
      </c>
      <c r="E98">
        <f>[7]Summary!E11</f>
        <v>0</v>
      </c>
      <c r="F98">
        <f>[7]Summary!F11</f>
        <v>0</v>
      </c>
      <c r="G98">
        <f>[7]Summary!G11</f>
        <v>0</v>
      </c>
      <c r="H98">
        <f>[7]Summary!H11</f>
        <v>0</v>
      </c>
      <c r="I98">
        <f>[7]Summary!I11</f>
        <v>0</v>
      </c>
      <c r="J98">
        <f>[7]Summary!J11</f>
        <v>0</v>
      </c>
      <c r="K98">
        <f>[7]Summary!K11</f>
        <v>0</v>
      </c>
    </row>
    <row r="99" spans="1:11" x14ac:dyDescent="0.3">
      <c r="B99">
        <f>[7]Summary!B12</f>
        <v>0</v>
      </c>
      <c r="C99">
        <f>[7]Summary!C12</f>
        <v>0</v>
      </c>
      <c r="D99">
        <f>[7]Summary!D12</f>
        <v>0</v>
      </c>
      <c r="E99">
        <f>[7]Summary!E12</f>
        <v>0</v>
      </c>
      <c r="F99">
        <f>[7]Summary!F12</f>
        <v>0</v>
      </c>
      <c r="G99">
        <f>[7]Summary!G12</f>
        <v>0</v>
      </c>
      <c r="H99">
        <f>[7]Summary!H12</f>
        <v>0</v>
      </c>
      <c r="I99">
        <f>[7]Summary!I12</f>
        <v>0</v>
      </c>
      <c r="J99">
        <f>[7]Summary!J12</f>
        <v>0</v>
      </c>
      <c r="K99">
        <f>[7]Summary!K12</f>
        <v>0</v>
      </c>
    </row>
    <row r="100" spans="1:11" x14ac:dyDescent="0.3">
      <c r="B100">
        <f>[7]Summary!B13</f>
        <v>0</v>
      </c>
      <c r="C100">
        <f>[7]Summary!C13</f>
        <v>0</v>
      </c>
      <c r="D100">
        <f>[7]Summary!D13</f>
        <v>0</v>
      </c>
      <c r="E100">
        <f>[7]Summary!E13</f>
        <v>0</v>
      </c>
      <c r="F100">
        <f>[7]Summary!F13</f>
        <v>0</v>
      </c>
      <c r="G100">
        <f>[7]Summary!G13</f>
        <v>0</v>
      </c>
      <c r="H100">
        <f>[7]Summary!H13</f>
        <v>0</v>
      </c>
      <c r="I100">
        <f>[7]Summary!I13</f>
        <v>0</v>
      </c>
      <c r="J100">
        <f>[7]Summary!J13</f>
        <v>0</v>
      </c>
      <c r="K100">
        <f>[7]Summary!K13</f>
        <v>0</v>
      </c>
    </row>
    <row r="102" spans="1:11" x14ac:dyDescent="0.3">
      <c r="A102" t="s">
        <v>7</v>
      </c>
      <c r="B102">
        <f>[8]Summary!B5</f>
        <v>0</v>
      </c>
      <c r="C102" t="str">
        <f>[8]Summary!C5</f>
        <v>Current Price</v>
      </c>
      <c r="D102" t="str">
        <f>[8]Summary!D5</f>
        <v>10MA</v>
      </c>
      <c r="E102" t="str">
        <f>[8]Summary!E5</f>
        <v>50MA</v>
      </c>
      <c r="F102" t="str">
        <f>[8]Summary!F5</f>
        <v>100MA</v>
      </c>
      <c r="G102" t="str">
        <f>[8]Summary!G5</f>
        <v>200MA</v>
      </c>
      <c r="H102" t="str">
        <f>[8]Summary!H5</f>
        <v>10MA Trend</v>
      </c>
      <c r="I102" t="str">
        <f>[8]Summary!I5</f>
        <v>50MA Trend</v>
      </c>
      <c r="J102" t="str">
        <f>[8]Summary!J5</f>
        <v>100MA Trend</v>
      </c>
      <c r="K102" t="str">
        <f>[8]Summary!K5</f>
        <v>200MA Trend</v>
      </c>
    </row>
    <row r="103" spans="1:11" x14ac:dyDescent="0.3">
      <c r="B103" t="str">
        <f>[8]Summary!B6</f>
        <v>ACC</v>
      </c>
      <c r="C103">
        <f>[8]Summary!C6</f>
        <v>1938</v>
      </c>
      <c r="D103">
        <f>[8]Summary!D6</f>
        <v>2038.8150000000001</v>
      </c>
      <c r="E103">
        <f>[8]Summary!E6</f>
        <v>1928.769</v>
      </c>
      <c r="F103">
        <f>[8]Summary!F6</f>
        <v>2004.6269999999997</v>
      </c>
      <c r="G103">
        <f>[8]Summary!G6</f>
        <v>2200.0452500000001</v>
      </c>
      <c r="H103">
        <f>[8]Summary!H6</f>
        <v>-3.5550000000000637</v>
      </c>
      <c r="I103">
        <f>[8]Summary!I6</f>
        <v>-1.1169999999999618</v>
      </c>
      <c r="J103">
        <f>[8]Summary!J6</f>
        <v>-2.5054999999999836</v>
      </c>
      <c r="K103">
        <f>[8]Summary!K6</f>
        <v>-3.9375</v>
      </c>
    </row>
    <row r="104" spans="1:11" x14ac:dyDescent="0.3">
      <c r="B104" t="str">
        <f>[8]Summary!B7</f>
        <v>AMBUJACEM</v>
      </c>
      <c r="C104">
        <f>[8]Summary!C7</f>
        <v>548.70000000000005</v>
      </c>
      <c r="D104">
        <f>[8]Summary!D7</f>
        <v>564.19000000000005</v>
      </c>
      <c r="E104">
        <f>[8]Summary!E7</f>
        <v>514.16300000000001</v>
      </c>
      <c r="F104">
        <f>[8]Summary!F7</f>
        <v>527.64200000000005</v>
      </c>
      <c r="G104">
        <f>[8]Summary!G7</f>
        <v>570.05549999999982</v>
      </c>
      <c r="H104">
        <f>[8]Summary!H7</f>
        <v>1.1900000000000546</v>
      </c>
      <c r="I104">
        <f>[8]Summary!I7</f>
        <v>0.69100000000014461</v>
      </c>
      <c r="J104">
        <f>[8]Summary!J7</f>
        <v>0.3569999999999709</v>
      </c>
      <c r="K104">
        <f>[8]Summary!K7</f>
        <v>-0.66700000000003001</v>
      </c>
    </row>
    <row r="105" spans="1:11" x14ac:dyDescent="0.3">
      <c r="B105" t="str">
        <f>[8]Summary!B8</f>
        <v>JKCEMENT</v>
      </c>
      <c r="C105">
        <f>[8]Summary!C8</f>
        <v>5245.3</v>
      </c>
      <c r="D105">
        <f>[8]Summary!D8</f>
        <v>5080.8850000000002</v>
      </c>
      <c r="E105">
        <f>[8]Summary!E8</f>
        <v>4735.95</v>
      </c>
      <c r="F105">
        <f>[8]Summary!F8</f>
        <v>4694.5279999999993</v>
      </c>
      <c r="G105">
        <f>[8]Summary!G8</f>
        <v>4530.5719999999992</v>
      </c>
      <c r="H105">
        <f>[8]Summary!H8</f>
        <v>35.915000000000873</v>
      </c>
      <c r="I105">
        <f>[8]Summary!I8</f>
        <v>6.9400000000005093</v>
      </c>
      <c r="J105">
        <f>[8]Summary!J8</f>
        <v>11.01299999999992</v>
      </c>
      <c r="K105">
        <f>[8]Summary!K8</f>
        <v>4.7699999999995271</v>
      </c>
    </row>
    <row r="106" spans="1:11" x14ac:dyDescent="0.3">
      <c r="B106" t="str">
        <f>[8]Summary!B9</f>
        <v>SHREECEM</v>
      </c>
      <c r="C106">
        <f>[8]Summary!C9</f>
        <v>30540</v>
      </c>
      <c r="D106">
        <f>[8]Summary!D9</f>
        <v>30707.82</v>
      </c>
      <c r="E106">
        <f>[8]Summary!E9</f>
        <v>29086.96999999999</v>
      </c>
      <c r="F106">
        <f>[8]Summary!F9</f>
        <v>27809.47</v>
      </c>
      <c r="G106">
        <f>[8]Summary!G9</f>
        <v>26704.682499999981</v>
      </c>
      <c r="H106">
        <f>[8]Summary!H9</f>
        <v>10.679999999996653</v>
      </c>
      <c r="I106">
        <f>[8]Summary!I9</f>
        <v>54.348999999994703</v>
      </c>
      <c r="J106">
        <f>[8]Summary!J9</f>
        <v>49.943999999995867</v>
      </c>
      <c r="K106">
        <f>[8]Summary!K9</f>
        <v>15.404750000001513</v>
      </c>
    </row>
    <row r="107" spans="1:11" x14ac:dyDescent="0.3">
      <c r="B107" t="str">
        <f>[8]Summary!B10</f>
        <v>ULTRACEMCO</v>
      </c>
      <c r="C107">
        <f>[8]Summary!C10</f>
        <v>12237</v>
      </c>
      <c r="D107">
        <f>[8]Summary!D10</f>
        <v>11848.57</v>
      </c>
      <c r="E107">
        <f>[8]Summary!E10</f>
        <v>11196.653</v>
      </c>
      <c r="F107">
        <f>[8]Summary!F10</f>
        <v>11297.780500000001</v>
      </c>
      <c r="G107">
        <f>[8]Summary!G10</f>
        <v>11340.135749999999</v>
      </c>
      <c r="H107">
        <f>[8]Summary!H10</f>
        <v>96.655000000000655</v>
      </c>
      <c r="I107">
        <f>[8]Summary!I10</f>
        <v>15.19300000000112</v>
      </c>
      <c r="J107">
        <f>[8]Summary!J10</f>
        <v>12.391999999999825</v>
      </c>
      <c r="K107">
        <f>[8]Summary!K10</f>
        <v>2.3847499999992579</v>
      </c>
    </row>
    <row r="108" spans="1:11" x14ac:dyDescent="0.3">
      <c r="B108">
        <f>[8]Summary!B11</f>
        <v>0</v>
      </c>
      <c r="C108">
        <f>[8]Summary!C11</f>
        <v>0</v>
      </c>
      <c r="D108">
        <f>[8]Summary!D11</f>
        <v>0</v>
      </c>
      <c r="E108">
        <f>[8]Summary!E11</f>
        <v>0</v>
      </c>
      <c r="F108">
        <f>[8]Summary!F11</f>
        <v>0</v>
      </c>
      <c r="G108">
        <f>[8]Summary!G11</f>
        <v>0</v>
      </c>
      <c r="H108">
        <f>[8]Summary!H11</f>
        <v>0</v>
      </c>
      <c r="I108">
        <f>[8]Summary!I11</f>
        <v>0</v>
      </c>
      <c r="J108">
        <f>[8]Summary!J11</f>
        <v>0</v>
      </c>
      <c r="K108">
        <f>[8]Summary!K11</f>
        <v>0</v>
      </c>
    </row>
    <row r="109" spans="1:11" x14ac:dyDescent="0.3">
      <c r="B109">
        <f>[8]Summary!B12</f>
        <v>0</v>
      </c>
      <c r="C109">
        <f>[8]Summary!C12</f>
        <v>0</v>
      </c>
      <c r="D109">
        <f>[8]Summary!D12</f>
        <v>0</v>
      </c>
      <c r="E109">
        <f>[8]Summary!E12</f>
        <v>0</v>
      </c>
      <c r="F109">
        <f>[8]Summary!F12</f>
        <v>0</v>
      </c>
      <c r="G109">
        <f>[8]Summary!G12</f>
        <v>0</v>
      </c>
      <c r="H109">
        <f>[8]Summary!H12</f>
        <v>0</v>
      </c>
      <c r="I109">
        <f>[8]Summary!I12</f>
        <v>0</v>
      </c>
      <c r="J109">
        <f>[8]Summary!J12</f>
        <v>0</v>
      </c>
      <c r="K109">
        <f>[8]Summary!K12</f>
        <v>0</v>
      </c>
    </row>
    <row r="110" spans="1:11" x14ac:dyDescent="0.3">
      <c r="B110">
        <f>[8]Summary!B13</f>
        <v>0</v>
      </c>
      <c r="C110">
        <f>[8]Summary!C13</f>
        <v>0</v>
      </c>
      <c r="D110">
        <f>[8]Summary!D13</f>
        <v>0</v>
      </c>
      <c r="E110">
        <f>[8]Summary!E13</f>
        <v>0</v>
      </c>
      <c r="F110">
        <f>[8]Summary!F13</f>
        <v>0</v>
      </c>
      <c r="G110">
        <f>[8]Summary!G13</f>
        <v>0</v>
      </c>
      <c r="H110">
        <f>[8]Summary!H13</f>
        <v>0</v>
      </c>
      <c r="I110">
        <f>[8]Summary!I13</f>
        <v>0</v>
      </c>
      <c r="J110">
        <f>[8]Summary!J13</f>
        <v>0</v>
      </c>
      <c r="K110">
        <f>[8]Summary!K13</f>
        <v>0</v>
      </c>
    </row>
    <row r="111" spans="1:11" x14ac:dyDescent="0.3">
      <c r="B111">
        <f>[8]Summary!B14</f>
        <v>0</v>
      </c>
      <c r="C111">
        <f>[8]Summary!C14</f>
        <v>0</v>
      </c>
      <c r="D111">
        <f>[8]Summary!D14</f>
        <v>0</v>
      </c>
      <c r="E111">
        <f>[8]Summary!E14</f>
        <v>0</v>
      </c>
      <c r="F111">
        <f>[8]Summary!F14</f>
        <v>0</v>
      </c>
      <c r="G111">
        <f>[8]Summary!G14</f>
        <v>0</v>
      </c>
      <c r="H111">
        <f>[8]Summary!H14</f>
        <v>0</v>
      </c>
      <c r="I111">
        <f>[8]Summary!I14</f>
        <v>0</v>
      </c>
      <c r="J111">
        <f>[8]Summary!J14</f>
        <v>0</v>
      </c>
      <c r="K111">
        <f>[8]Summary!K14</f>
        <v>0</v>
      </c>
    </row>
    <row r="112" spans="1:11" x14ac:dyDescent="0.3">
      <c r="B112">
        <f>[8]Summary!B15</f>
        <v>0</v>
      </c>
      <c r="C112">
        <f>[8]Summary!C15</f>
        <v>0</v>
      </c>
      <c r="D112">
        <f>[8]Summary!D15</f>
        <v>0</v>
      </c>
      <c r="E112">
        <f>[8]Summary!E15</f>
        <v>0</v>
      </c>
      <c r="F112">
        <f>[8]Summary!F15</f>
        <v>0</v>
      </c>
      <c r="G112">
        <f>[8]Summary!G15</f>
        <v>0</v>
      </c>
      <c r="H112">
        <f>[8]Summary!H15</f>
        <v>0</v>
      </c>
      <c r="I112">
        <f>[8]Summary!I15</f>
        <v>0</v>
      </c>
      <c r="J112">
        <f>[8]Summary!J15</f>
        <v>0</v>
      </c>
      <c r="K112">
        <f>[8]Summary!K15</f>
        <v>0</v>
      </c>
    </row>
    <row r="115" spans="1:11" x14ac:dyDescent="0.3">
      <c r="A115" t="s">
        <v>8</v>
      </c>
      <c r="B115">
        <f>[9]Summary!B5</f>
        <v>0</v>
      </c>
      <c r="C115" t="str">
        <f>[9]Summary!C5</f>
        <v>Current Price</v>
      </c>
      <c r="D115" t="str">
        <f>[9]Summary!D5</f>
        <v>10MA</v>
      </c>
      <c r="E115" t="str">
        <f>[9]Summary!E5</f>
        <v>50MA</v>
      </c>
      <c r="F115" t="str">
        <f>[9]Summary!F5</f>
        <v>100MA</v>
      </c>
      <c r="G115" t="str">
        <f>[9]Summary!G5</f>
        <v>200MA</v>
      </c>
      <c r="H115" t="str">
        <f>[9]Summary!H5</f>
        <v>10MA Trend</v>
      </c>
      <c r="I115" t="str">
        <f>[9]Summary!I5</f>
        <v>50MA Trend</v>
      </c>
      <c r="J115" t="str">
        <f>[9]Summary!J5</f>
        <v>100MA Trend</v>
      </c>
      <c r="K115" t="str">
        <f>[9]Summary!K5</f>
        <v>200MA Trend</v>
      </c>
    </row>
    <row r="116" spans="1:11" x14ac:dyDescent="0.3">
      <c r="B116" t="str">
        <f>[9]Summary!B6</f>
        <v>BHARTIARTL</v>
      </c>
      <c r="C116">
        <f>[9]Summary!C6</f>
        <v>1817.2</v>
      </c>
      <c r="D116">
        <f>[9]Summary!D6</f>
        <v>1826.2649999999999</v>
      </c>
      <c r="E116">
        <f>[9]Summary!E6</f>
        <v>1703.6040000000003</v>
      </c>
      <c r="F116">
        <f>[9]Summary!F6</f>
        <v>1658.8494999999996</v>
      </c>
      <c r="G116">
        <f>[9]Summary!G6</f>
        <v>1615.3514999999998</v>
      </c>
      <c r="H116">
        <f>[9]Summary!H6</f>
        <v>9.6799999999996089</v>
      </c>
      <c r="I116">
        <f>[9]Summary!I6</f>
        <v>3.9490000000000691</v>
      </c>
      <c r="J116">
        <f>[9]Summary!J6</f>
        <v>2.568000000000211</v>
      </c>
      <c r="K116">
        <f>[9]Summary!K6</f>
        <v>1.9707500000001801</v>
      </c>
    </row>
    <row r="117" spans="1:11" x14ac:dyDescent="0.3">
      <c r="B117" t="str">
        <f>[9]Summary!B7</f>
        <v>TATACOMM</v>
      </c>
      <c r="C117">
        <f>[9]Summary!C7</f>
        <v>1569.6</v>
      </c>
      <c r="D117">
        <f>[9]Summary!D7</f>
        <v>1579.5900000000001</v>
      </c>
      <c r="E117">
        <f>[9]Summary!E7</f>
        <v>1520.5409999999997</v>
      </c>
      <c r="F117">
        <f>[9]Summary!F7</f>
        <v>1614.3715000000002</v>
      </c>
      <c r="G117">
        <f>[9]Summary!G7</f>
        <v>1753.50575</v>
      </c>
      <c r="H117">
        <f>[9]Summary!H7</f>
        <v>0.41000000000008185</v>
      </c>
      <c r="I117">
        <f>[9]Summary!I7</f>
        <v>-0.34600000000000364</v>
      </c>
      <c r="J117">
        <f>[9]Summary!J7</f>
        <v>-1.7550000000001091</v>
      </c>
      <c r="K117">
        <f>[9]Summary!K7</f>
        <v>-1.5334999999997763</v>
      </c>
    </row>
    <row r="118" spans="1:11" x14ac:dyDescent="0.3">
      <c r="B118">
        <f>[9]Summary!B8</f>
        <v>0</v>
      </c>
      <c r="C118">
        <f>[9]Summary!C8</f>
        <v>0</v>
      </c>
      <c r="D118">
        <f>[9]Summary!D8</f>
        <v>0</v>
      </c>
      <c r="E118">
        <f>[9]Summary!E8</f>
        <v>0</v>
      </c>
      <c r="F118">
        <f>[9]Summary!F8</f>
        <v>0</v>
      </c>
      <c r="G118">
        <f>[9]Summary!G8</f>
        <v>0</v>
      </c>
      <c r="H118">
        <f>[9]Summary!H8</f>
        <v>0</v>
      </c>
      <c r="I118">
        <f>[9]Summary!I8</f>
        <v>0</v>
      </c>
      <c r="J118">
        <f>[9]Summary!J8</f>
        <v>0</v>
      </c>
      <c r="K118">
        <f>[9]Summary!K8</f>
        <v>0</v>
      </c>
    </row>
    <row r="119" spans="1:11" x14ac:dyDescent="0.3">
      <c r="B119">
        <f>[9]Summary!B9</f>
        <v>0</v>
      </c>
      <c r="C119">
        <f>[9]Summary!C9</f>
        <v>0</v>
      </c>
      <c r="D119">
        <f>[9]Summary!D9</f>
        <v>0</v>
      </c>
      <c r="E119">
        <f>[9]Summary!E9</f>
        <v>0</v>
      </c>
      <c r="F119">
        <f>[9]Summary!F9</f>
        <v>0</v>
      </c>
      <c r="G119">
        <f>[9]Summary!G9</f>
        <v>0</v>
      </c>
      <c r="H119">
        <f>[9]Summary!H9</f>
        <v>0</v>
      </c>
      <c r="I119">
        <f>[9]Summary!I9</f>
        <v>0</v>
      </c>
      <c r="J119">
        <f>[9]Summary!J9</f>
        <v>0</v>
      </c>
      <c r="K119">
        <f>[9]Summary!K9</f>
        <v>0</v>
      </c>
    </row>
    <row r="120" spans="1:11" x14ac:dyDescent="0.3">
      <c r="B120">
        <f>[9]Summary!B10</f>
        <v>0</v>
      </c>
      <c r="C120">
        <f>[9]Summary!C10</f>
        <v>0</v>
      </c>
      <c r="D120">
        <f>[9]Summary!D10</f>
        <v>0</v>
      </c>
      <c r="E120">
        <f>[9]Summary!E10</f>
        <v>0</v>
      </c>
      <c r="F120">
        <f>[9]Summary!F10</f>
        <v>0</v>
      </c>
      <c r="G120">
        <f>[9]Summary!G10</f>
        <v>0</v>
      </c>
      <c r="H120">
        <f>[9]Summary!H10</f>
        <v>0</v>
      </c>
      <c r="I120">
        <f>[9]Summary!I10</f>
        <v>0</v>
      </c>
      <c r="J120">
        <f>[9]Summary!J10</f>
        <v>0</v>
      </c>
      <c r="K120">
        <f>[9]Summary!K10</f>
        <v>0</v>
      </c>
    </row>
    <row r="121" spans="1:11" x14ac:dyDescent="0.3">
      <c r="B121">
        <f>[9]Summary!B11</f>
        <v>0</v>
      </c>
      <c r="C121">
        <f>[9]Summary!C11</f>
        <v>0</v>
      </c>
      <c r="D121">
        <f>[9]Summary!D11</f>
        <v>0</v>
      </c>
      <c r="E121">
        <f>[9]Summary!E11</f>
        <v>0</v>
      </c>
      <c r="F121">
        <f>[9]Summary!F11</f>
        <v>0</v>
      </c>
      <c r="G121">
        <f>[9]Summary!G11</f>
        <v>0</v>
      </c>
      <c r="H121">
        <f>[9]Summary!H11</f>
        <v>0</v>
      </c>
      <c r="I121">
        <f>[9]Summary!I11</f>
        <v>0</v>
      </c>
      <c r="J121">
        <f>[9]Summary!J11</f>
        <v>0</v>
      </c>
      <c r="K121">
        <f>[9]Summary!K11</f>
        <v>0</v>
      </c>
    </row>
    <row r="122" spans="1:11" x14ac:dyDescent="0.3">
      <c r="B122">
        <f>[9]Summary!B12</f>
        <v>0</v>
      </c>
      <c r="C122">
        <f>[9]Summary!C12</f>
        <v>0</v>
      </c>
      <c r="D122">
        <f>[9]Summary!D12</f>
        <v>0</v>
      </c>
      <c r="E122">
        <f>[9]Summary!E12</f>
        <v>0</v>
      </c>
      <c r="F122">
        <f>[9]Summary!F12</f>
        <v>0</v>
      </c>
      <c r="G122">
        <f>[9]Summary!G12</f>
        <v>0</v>
      </c>
      <c r="H122">
        <f>[9]Summary!H12</f>
        <v>0</v>
      </c>
      <c r="I122">
        <f>[9]Summary!I12</f>
        <v>0</v>
      </c>
      <c r="J122">
        <f>[9]Summary!J12</f>
        <v>0</v>
      </c>
      <c r="K122">
        <f>[9]Summary!K12</f>
        <v>0</v>
      </c>
    </row>
    <row r="123" spans="1:11" x14ac:dyDescent="0.3">
      <c r="B123">
        <f>[9]Summary!B13</f>
        <v>0</v>
      </c>
      <c r="C123">
        <f>[9]Summary!C13</f>
        <v>0</v>
      </c>
      <c r="D123">
        <f>[9]Summary!D13</f>
        <v>0</v>
      </c>
      <c r="E123">
        <f>[9]Summary!E13</f>
        <v>0</v>
      </c>
      <c r="F123">
        <f>[9]Summary!F13</f>
        <v>0</v>
      </c>
      <c r="G123">
        <f>[9]Summary!G13</f>
        <v>0</v>
      </c>
      <c r="H123">
        <f>[9]Summary!H13</f>
        <v>0</v>
      </c>
      <c r="I123">
        <f>[9]Summary!I13</f>
        <v>0</v>
      </c>
      <c r="J123">
        <f>[9]Summary!J13</f>
        <v>0</v>
      </c>
      <c r="K123">
        <f>[9]Summary!K13</f>
        <v>0</v>
      </c>
    </row>
    <row r="125" spans="1:11" x14ac:dyDescent="0.3">
      <c r="A125" t="s">
        <v>9</v>
      </c>
      <c r="B125">
        <f>[10]Summary!B5</f>
        <v>0</v>
      </c>
      <c r="C125" t="str">
        <f>[10]Summary!C5</f>
        <v>Current Price</v>
      </c>
      <c r="D125" t="str">
        <f>[10]Summary!D5</f>
        <v>10MA</v>
      </c>
      <c r="E125" t="str">
        <f>[10]Summary!E5</f>
        <v>50MA</v>
      </c>
      <c r="F125" t="str">
        <f>[10]Summary!F5</f>
        <v>100MA</v>
      </c>
      <c r="G125" t="str">
        <f>[10]Summary!G5</f>
        <v>200MA</v>
      </c>
      <c r="H125" t="str">
        <f>[10]Summary!H5</f>
        <v>10MA Trend</v>
      </c>
      <c r="I125" t="str">
        <f>[10]Summary!I5</f>
        <v>50MA Trend</v>
      </c>
      <c r="J125" t="str">
        <f>[10]Summary!J5</f>
        <v>100MA Trend</v>
      </c>
      <c r="K125" t="str">
        <f>[10]Summary!K5</f>
        <v>200MA Trend</v>
      </c>
    </row>
    <row r="126" spans="1:11" x14ac:dyDescent="0.3">
      <c r="B126" t="str">
        <f>[10]Summary!B6</f>
        <v>SUNTV</v>
      </c>
      <c r="C126">
        <f>[10]Summary!C6</f>
        <v>639.04999999999995</v>
      </c>
      <c r="D126">
        <f>[10]Summary!D6</f>
        <v>660.68500000000006</v>
      </c>
      <c r="E126">
        <f>[10]Summary!E6</f>
        <v>614.38200000000006</v>
      </c>
      <c r="F126">
        <f>[10]Summary!F6</f>
        <v>649.40549999999973</v>
      </c>
      <c r="G126">
        <f>[10]Summary!G6</f>
        <v>723.31975000000011</v>
      </c>
      <c r="H126">
        <f>[10]Summary!H6</f>
        <v>-1.375</v>
      </c>
      <c r="I126">
        <f>[10]Summary!I6</f>
        <v>4.0000000000190994E-3</v>
      </c>
      <c r="J126">
        <f>[10]Summary!J6</f>
        <v>-1.0715000000000146</v>
      </c>
      <c r="K126">
        <f>[10]Summary!K6</f>
        <v>-0.70999999999992269</v>
      </c>
    </row>
    <row r="127" spans="1:11" x14ac:dyDescent="0.3">
      <c r="B127" t="str">
        <f>[10]Summary!B7</f>
        <v>ZEEL</v>
      </c>
      <c r="C127">
        <f>[10]Summary!C7</f>
        <v>108.23</v>
      </c>
      <c r="D127">
        <f>[10]Summary!D7</f>
        <v>111.377</v>
      </c>
      <c r="E127">
        <f>[10]Summary!E7</f>
        <v>102.9284</v>
      </c>
      <c r="F127">
        <f>[10]Summary!F7</f>
        <v>113.55150000000002</v>
      </c>
      <c r="G127">
        <f>[10]Summary!G7</f>
        <v>123.31109999999988</v>
      </c>
      <c r="H127">
        <f>[10]Summary!H7</f>
        <v>2.9999999999986926E-2</v>
      </c>
      <c r="I127">
        <f>[10]Summary!I7</f>
        <v>-5.199999999987881E-3</v>
      </c>
      <c r="J127">
        <f>[10]Summary!J7</f>
        <v>-0.14880000000000848</v>
      </c>
      <c r="K127">
        <f>[10]Summary!K7</f>
        <v>-0.20895000000000152</v>
      </c>
    </row>
    <row r="128" spans="1:11" x14ac:dyDescent="0.3">
      <c r="B128">
        <f>[10]Summary!B8</f>
        <v>0</v>
      </c>
      <c r="C128">
        <f>[10]Summary!C8</f>
        <v>0</v>
      </c>
      <c r="D128">
        <f>[10]Summary!D8</f>
        <v>0</v>
      </c>
      <c r="E128">
        <f>[10]Summary!E8</f>
        <v>0</v>
      </c>
      <c r="F128">
        <f>[10]Summary!F8</f>
        <v>0</v>
      </c>
      <c r="G128">
        <f>[10]Summary!G8</f>
        <v>0</v>
      </c>
      <c r="H128">
        <f>[10]Summary!H8</f>
        <v>0</v>
      </c>
      <c r="I128">
        <f>[10]Summary!I8</f>
        <v>0</v>
      </c>
      <c r="J128">
        <f>[10]Summary!J8</f>
        <v>0</v>
      </c>
      <c r="K128">
        <f>[10]Summary!K8</f>
        <v>0</v>
      </c>
    </row>
    <row r="129" spans="1:11" x14ac:dyDescent="0.3">
      <c r="B129">
        <f>[10]Summary!B9</f>
        <v>0</v>
      </c>
      <c r="C129">
        <f>[10]Summary!C9</f>
        <v>0</v>
      </c>
      <c r="D129">
        <f>[10]Summary!D9</f>
        <v>0</v>
      </c>
      <c r="E129">
        <f>[10]Summary!E9</f>
        <v>0</v>
      </c>
      <c r="F129">
        <f>[10]Summary!F9</f>
        <v>0</v>
      </c>
      <c r="G129">
        <f>[10]Summary!G9</f>
        <v>0</v>
      </c>
      <c r="H129">
        <f>[10]Summary!H9</f>
        <v>0</v>
      </c>
      <c r="I129">
        <f>[10]Summary!I9</f>
        <v>0</v>
      </c>
      <c r="J129">
        <f>[10]Summary!J9</f>
        <v>0</v>
      </c>
      <c r="K129">
        <f>[10]Summary!K9</f>
        <v>0</v>
      </c>
    </row>
    <row r="130" spans="1:11" x14ac:dyDescent="0.3">
      <c r="B130">
        <f>[10]Summary!B10</f>
        <v>0</v>
      </c>
      <c r="C130">
        <f>[10]Summary!C10</f>
        <v>0</v>
      </c>
      <c r="D130">
        <f>[10]Summary!D10</f>
        <v>0</v>
      </c>
      <c r="E130">
        <f>[10]Summary!E10</f>
        <v>0</v>
      </c>
      <c r="F130">
        <f>[10]Summary!F10</f>
        <v>0</v>
      </c>
      <c r="G130">
        <f>[10]Summary!G10</f>
        <v>0</v>
      </c>
      <c r="H130">
        <f>[10]Summary!H10</f>
        <v>0</v>
      </c>
      <c r="I130">
        <f>[10]Summary!I10</f>
        <v>0</v>
      </c>
      <c r="J130">
        <f>[10]Summary!J10</f>
        <v>0</v>
      </c>
      <c r="K130">
        <f>[10]Summary!K10</f>
        <v>0</v>
      </c>
    </row>
    <row r="131" spans="1:11" x14ac:dyDescent="0.3">
      <c r="B131">
        <f>[10]Summary!B11</f>
        <v>0</v>
      </c>
      <c r="C131">
        <f>[10]Summary!C11</f>
        <v>0</v>
      </c>
      <c r="D131">
        <f>[10]Summary!D11</f>
        <v>0</v>
      </c>
      <c r="E131">
        <f>[10]Summary!E11</f>
        <v>0</v>
      </c>
      <c r="F131">
        <f>[10]Summary!F11</f>
        <v>0</v>
      </c>
      <c r="G131">
        <f>[10]Summary!G11</f>
        <v>0</v>
      </c>
      <c r="H131">
        <f>[10]Summary!H11</f>
        <v>0</v>
      </c>
      <c r="I131">
        <f>[10]Summary!I11</f>
        <v>0</v>
      </c>
      <c r="J131">
        <f>[10]Summary!J11</f>
        <v>0</v>
      </c>
      <c r="K131">
        <f>[10]Summary!K11</f>
        <v>0</v>
      </c>
    </row>
    <row r="132" spans="1:11" x14ac:dyDescent="0.3">
      <c r="B132">
        <f>[10]Summary!B12</f>
        <v>0</v>
      </c>
      <c r="C132">
        <f>[10]Summary!C12</f>
        <v>0</v>
      </c>
      <c r="D132">
        <f>[10]Summary!D12</f>
        <v>0</v>
      </c>
      <c r="E132">
        <f>[10]Summary!E12</f>
        <v>0</v>
      </c>
      <c r="F132">
        <f>[10]Summary!F12</f>
        <v>0</v>
      </c>
      <c r="G132">
        <f>[10]Summary!G12</f>
        <v>0</v>
      </c>
      <c r="H132">
        <f>[10]Summary!H12</f>
        <v>0</v>
      </c>
      <c r="I132">
        <f>[10]Summary!I12</f>
        <v>0</v>
      </c>
      <c r="J132">
        <f>[10]Summary!J12</f>
        <v>0</v>
      </c>
      <c r="K132">
        <f>[10]Summary!K12</f>
        <v>0</v>
      </c>
    </row>
    <row r="133" spans="1:11" x14ac:dyDescent="0.3">
      <c r="B133">
        <f>[10]Summary!B13</f>
        <v>0</v>
      </c>
      <c r="C133">
        <f>[10]Summary!C13</f>
        <v>0</v>
      </c>
      <c r="D133">
        <f>[10]Summary!D13</f>
        <v>0</v>
      </c>
      <c r="E133">
        <f>[10]Summary!E13</f>
        <v>0</v>
      </c>
      <c r="F133">
        <f>[10]Summary!F13</f>
        <v>0</v>
      </c>
      <c r="G133">
        <f>[10]Summary!G13</f>
        <v>0</v>
      </c>
      <c r="H133">
        <f>[10]Summary!H13</f>
        <v>0</v>
      </c>
      <c r="I133">
        <f>[10]Summary!I13</f>
        <v>0</v>
      </c>
      <c r="J133">
        <f>[10]Summary!J13</f>
        <v>0</v>
      </c>
      <c r="K133">
        <f>[10]Summary!K13</f>
        <v>0</v>
      </c>
    </row>
    <row r="134" spans="1:11" x14ac:dyDescent="0.3">
      <c r="B134">
        <f>[10]Summary!B14</f>
        <v>0</v>
      </c>
      <c r="C134">
        <f>[10]Summary!C14</f>
        <v>0</v>
      </c>
      <c r="D134">
        <f>[10]Summary!D14</f>
        <v>0</v>
      </c>
      <c r="E134">
        <f>[10]Summary!E14</f>
        <v>0</v>
      </c>
      <c r="F134">
        <f>[10]Summary!F14</f>
        <v>0</v>
      </c>
      <c r="G134">
        <f>[10]Summary!G14</f>
        <v>0</v>
      </c>
      <c r="H134">
        <f>[10]Summary!H14</f>
        <v>0</v>
      </c>
      <c r="I134">
        <f>[10]Summary!I14</f>
        <v>0</v>
      </c>
      <c r="J134">
        <f>[10]Summary!J14</f>
        <v>0</v>
      </c>
      <c r="K134">
        <f>[10]Summary!K14</f>
        <v>0</v>
      </c>
    </row>
    <row r="136" spans="1:11" x14ac:dyDescent="0.3">
      <c r="A136" t="s">
        <v>10</v>
      </c>
      <c r="B136">
        <f>[11]Summary!B5</f>
        <v>0</v>
      </c>
      <c r="C136" t="str">
        <f>[11]Summary!C5</f>
        <v>Current Price</v>
      </c>
      <c r="D136" t="str">
        <f>[11]Summary!D5</f>
        <v>10MA</v>
      </c>
      <c r="E136" t="str">
        <f>[11]Summary!E5</f>
        <v>50MA</v>
      </c>
      <c r="F136" t="str">
        <f>[11]Summary!F5</f>
        <v>100MA</v>
      </c>
      <c r="G136" t="str">
        <f>[11]Summary!G5</f>
        <v>200MA</v>
      </c>
      <c r="H136" t="str">
        <f>[11]Summary!H5</f>
        <v>10MA Trend</v>
      </c>
      <c r="I136" t="str">
        <f>[11]Summary!I5</f>
        <v>50MA Trend</v>
      </c>
      <c r="J136" t="str">
        <f>[11]Summary!J5</f>
        <v>100MA Trend</v>
      </c>
      <c r="K136" t="str">
        <f>[11]Summary!K5</f>
        <v>200MA Trend</v>
      </c>
    </row>
    <row r="137" spans="1:11" x14ac:dyDescent="0.3">
      <c r="B137" t="str">
        <f>[11]Summary!B6</f>
        <v>ASIANPAINT</v>
      </c>
      <c r="C137">
        <f>[11]Summary!C6</f>
        <v>2431.6</v>
      </c>
      <c r="D137">
        <f>[11]Summary!D6</f>
        <v>2437.4350000000004</v>
      </c>
      <c r="E137">
        <f>[11]Summary!E6</f>
        <v>2301.6080000000002</v>
      </c>
      <c r="F137">
        <f>[11]Summary!F6</f>
        <v>2310.8255000000004</v>
      </c>
      <c r="G137">
        <f>[11]Summary!G6</f>
        <v>2661.4019999999996</v>
      </c>
      <c r="H137">
        <f>[11]Summary!H6</f>
        <v>3.7400000000002365</v>
      </c>
      <c r="I137">
        <f>[11]Summary!I6</f>
        <v>3.3640000000000327</v>
      </c>
      <c r="J137">
        <f>[11]Summary!J6</f>
        <v>-0.26450000000022555</v>
      </c>
      <c r="K137">
        <f>[11]Summary!K6</f>
        <v>-2.5165000000001783</v>
      </c>
    </row>
    <row r="138" spans="1:11" x14ac:dyDescent="0.3">
      <c r="B138" t="str">
        <f>[11]Summary!B7</f>
        <v>BERGEPAINT</v>
      </c>
      <c r="C138">
        <f>[11]Summary!C7</f>
        <v>552.5</v>
      </c>
      <c r="D138">
        <f>[11]Summary!D7</f>
        <v>553.92499999999995</v>
      </c>
      <c r="E138">
        <f>[11]Summary!E7</f>
        <v>508.27700000000004</v>
      </c>
      <c r="F138">
        <f>[11]Summary!F7</f>
        <v>487.89550000000008</v>
      </c>
      <c r="G138">
        <f>[11]Summary!G7</f>
        <v>520.27275000000009</v>
      </c>
      <c r="H138">
        <f>[11]Summary!H7</f>
        <v>1.6949999999999363</v>
      </c>
      <c r="I138">
        <f>[11]Summary!I7</f>
        <v>1.5299999999999727</v>
      </c>
      <c r="J138">
        <f>[11]Summary!J7</f>
        <v>0.63049999999998363</v>
      </c>
      <c r="K138">
        <f>[11]Summary!K7</f>
        <v>0.19749999999999091</v>
      </c>
    </row>
    <row r="139" spans="1:11" x14ac:dyDescent="0.3">
      <c r="B139">
        <f>[11]Summary!B8</f>
        <v>0</v>
      </c>
      <c r="C139">
        <f>[11]Summary!C8</f>
        <v>0</v>
      </c>
      <c r="D139">
        <f>[11]Summary!D8</f>
        <v>0</v>
      </c>
      <c r="E139">
        <f>[11]Summary!E8</f>
        <v>0</v>
      </c>
      <c r="F139">
        <f>[11]Summary!F8</f>
        <v>0</v>
      </c>
      <c r="G139">
        <f>[11]Summary!G8</f>
        <v>0</v>
      </c>
      <c r="H139">
        <f>[11]Summary!H8</f>
        <v>0</v>
      </c>
      <c r="I139">
        <f>[11]Summary!I8</f>
        <v>0</v>
      </c>
      <c r="J139">
        <f>[11]Summary!J8</f>
        <v>0</v>
      </c>
      <c r="K139">
        <f>[11]Summary!K8</f>
        <v>0</v>
      </c>
    </row>
    <row r="140" spans="1:11" x14ac:dyDescent="0.3">
      <c r="B140">
        <f>[11]Summary!B9</f>
        <v>0</v>
      </c>
      <c r="C140">
        <f>[11]Summary!C9</f>
        <v>0</v>
      </c>
      <c r="D140">
        <f>[11]Summary!D9</f>
        <v>0</v>
      </c>
      <c r="E140">
        <f>[11]Summary!E9</f>
        <v>0</v>
      </c>
      <c r="F140">
        <f>[11]Summary!F9</f>
        <v>0</v>
      </c>
      <c r="G140">
        <f>[11]Summary!G9</f>
        <v>0</v>
      </c>
      <c r="H140">
        <f>[11]Summary!H9</f>
        <v>0</v>
      </c>
      <c r="I140">
        <f>[11]Summary!I9</f>
        <v>0</v>
      </c>
      <c r="J140">
        <f>[11]Summary!J9</f>
        <v>0</v>
      </c>
      <c r="K140">
        <f>[11]Summary!K9</f>
        <v>0</v>
      </c>
    </row>
    <row r="141" spans="1:11" x14ac:dyDescent="0.3">
      <c r="B141">
        <f>[11]Summary!B10</f>
        <v>0</v>
      </c>
      <c r="C141">
        <f>[11]Summary!C10</f>
        <v>0</v>
      </c>
      <c r="D141">
        <f>[11]Summary!D10</f>
        <v>0</v>
      </c>
      <c r="E141">
        <f>[11]Summary!E10</f>
        <v>0</v>
      </c>
      <c r="F141">
        <f>[11]Summary!F10</f>
        <v>0</v>
      </c>
      <c r="G141">
        <f>[11]Summary!G10</f>
        <v>0</v>
      </c>
      <c r="H141">
        <f>[11]Summary!H10</f>
        <v>0</v>
      </c>
      <c r="I141">
        <f>[11]Summary!I10</f>
        <v>0</v>
      </c>
      <c r="J141">
        <f>[11]Summary!J10</f>
        <v>0</v>
      </c>
      <c r="K141">
        <f>[11]Summary!K10</f>
        <v>0</v>
      </c>
    </row>
    <row r="142" spans="1:11" x14ac:dyDescent="0.3">
      <c r="B142">
        <f>[11]Summary!B11</f>
        <v>0</v>
      </c>
      <c r="C142">
        <f>[11]Summary!C11</f>
        <v>0</v>
      </c>
      <c r="D142">
        <f>[11]Summary!D11</f>
        <v>0</v>
      </c>
      <c r="E142">
        <f>[11]Summary!E11</f>
        <v>0</v>
      </c>
      <c r="F142">
        <f>[11]Summary!F11</f>
        <v>0</v>
      </c>
      <c r="G142">
        <f>[11]Summary!G11</f>
        <v>0</v>
      </c>
      <c r="H142">
        <f>[11]Summary!H11</f>
        <v>0</v>
      </c>
      <c r="I142">
        <f>[11]Summary!I11</f>
        <v>0</v>
      </c>
      <c r="J142">
        <f>[11]Summary!J11</f>
        <v>0</v>
      </c>
      <c r="K142">
        <f>[11]Summary!K11</f>
        <v>0</v>
      </c>
    </row>
    <row r="143" spans="1:11" x14ac:dyDescent="0.3">
      <c r="B143">
        <f>[11]Summary!B12</f>
        <v>0</v>
      </c>
      <c r="C143">
        <f>[11]Summary!C12</f>
        <v>0</v>
      </c>
      <c r="D143">
        <f>[11]Summary!D12</f>
        <v>0</v>
      </c>
      <c r="E143">
        <f>[11]Summary!E12</f>
        <v>0</v>
      </c>
      <c r="F143">
        <f>[11]Summary!F12</f>
        <v>0</v>
      </c>
      <c r="G143">
        <f>[11]Summary!G12</f>
        <v>0</v>
      </c>
      <c r="H143">
        <f>[11]Summary!H12</f>
        <v>0</v>
      </c>
      <c r="I143">
        <f>[11]Summary!I12</f>
        <v>0</v>
      </c>
      <c r="J143">
        <f>[11]Summary!J12</f>
        <v>0</v>
      </c>
      <c r="K143">
        <f>[11]Summary!K12</f>
        <v>0</v>
      </c>
    </row>
  </sheetData>
  <conditionalFormatting sqref="H22:K47">
    <cfRule type="cellIs" dxfId="14" priority="11" operator="lessThan">
      <formula>0</formula>
    </cfRule>
  </conditionalFormatting>
  <conditionalFormatting sqref="H4:K14">
    <cfRule type="cellIs" dxfId="9" priority="10" operator="lessThan">
      <formula>0</formula>
    </cfRule>
  </conditionalFormatting>
  <conditionalFormatting sqref="H49:K56">
    <cfRule type="cellIs" dxfId="8" priority="9" operator="lessThan">
      <formula>0</formula>
    </cfRule>
  </conditionalFormatting>
  <conditionalFormatting sqref="H60:K68">
    <cfRule type="cellIs" dxfId="7" priority="8" operator="lessThan">
      <formula>0</formula>
    </cfRule>
  </conditionalFormatting>
  <conditionalFormatting sqref="H70:K78">
    <cfRule type="cellIs" dxfId="6" priority="7" operator="lessThan">
      <formula>0</formula>
    </cfRule>
  </conditionalFormatting>
  <conditionalFormatting sqref="H81:K90">
    <cfRule type="cellIs" dxfId="5" priority="6" operator="lessThan">
      <formula>0</formula>
    </cfRule>
  </conditionalFormatting>
  <conditionalFormatting sqref="H93:K100">
    <cfRule type="cellIs" dxfId="4" priority="5" operator="lessThan">
      <formula>0</formula>
    </cfRule>
  </conditionalFormatting>
  <conditionalFormatting sqref="H103:K112">
    <cfRule type="cellIs" dxfId="3" priority="4" operator="lessThan">
      <formula>0</formula>
    </cfRule>
  </conditionalFormatting>
  <conditionalFormatting sqref="H116:K123">
    <cfRule type="cellIs" dxfId="2" priority="3" operator="lessThan">
      <formula>0</formula>
    </cfRule>
  </conditionalFormatting>
  <conditionalFormatting sqref="H126:K134">
    <cfRule type="cellIs" dxfId="1" priority="2" operator="lessThan">
      <formula>0</formula>
    </cfRule>
  </conditionalFormatting>
  <conditionalFormatting sqref="H137:K14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venkatesh</dc:creator>
  <cp:lastModifiedBy>sai venkatesh</cp:lastModifiedBy>
  <dcterms:created xsi:type="dcterms:W3CDTF">2025-04-27T18:06:22Z</dcterms:created>
  <dcterms:modified xsi:type="dcterms:W3CDTF">2025-04-29T05:30:12Z</dcterms:modified>
</cp:coreProperties>
</file>